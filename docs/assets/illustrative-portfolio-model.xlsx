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tner_Rules" sheetId="2" state="visible" r:id="rId4"/>
    <sheet name="Merchant_Map" sheetId="3" state="visible" r:id="rId5"/>
    <sheet name="Residual_Data" sheetId="4" state="visible" r:id="rId6"/>
    <sheet name="Rev_Share_Calc" sheetId="5" state="visible" r:id="rId7"/>
    <sheet name="Reconciliation" sheetId="6" state="visible" r:id="rId8"/>
    <sheet name="Profitability" sheetId="7" state="visible" r:id="rId9"/>
    <sheet name="Forecast" sheetId="8" state="visible" r:id="rId10"/>
    <sheet name="Portal_Audit" sheetId="9" state="visible" r:id="rId11"/>
  </sheets>
  <definedNames>
    <definedName function="false" hidden="true" localSheetId="3" name="_xlnm._FilterDatabase" vbProcedure="false">Residual_Data!$A$4:$J$346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1" authorId="0">
      <text>
        <r>
          <rPr>
            <sz val="10"/>
            <rFont val="Arial"/>
            <family val="2"/>
          </rPr>
          <t xml:space="preserve">Merchant-level override: 45% vs Alpha default 40% (illustrative negotiated term).</t>
        </r>
      </text>
    </comment>
    <comment ref="F18" authorId="0">
      <text>
        <r>
          <rPr>
            <sz val="10"/>
            <rFont val="Arial"/>
            <family val="2"/>
          </rPr>
          <t xml:space="preserve">Merchant-level override: 30% vs Delta default 50%.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4" authorId="0">
      <text>
        <r>
          <rPr>
            <sz val="10"/>
            <rFont val="Arial"/>
            <family val="2"/>
          </rPr>
          <t xml:space="preserve">Illustrative: 50% advance paid; balance payable after reconciliation sign-off.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1" authorId="0">
      <text>
        <r>
          <rPr>
            <sz val="10"/>
            <rFont val="Arial"/>
            <family val="2"/>
          </rPr>
          <t xml:space="preserve">Blended yield on processing residual only (gateway fees excluded from numerator).</t>
        </r>
      </text>
    </comment>
  </commentList>
</comments>
</file>

<file path=xl/sharedStrings.xml><?xml version="1.0" encoding="utf-8"?>
<sst xmlns="http://schemas.openxmlformats.org/spreadsheetml/2006/main" count="1903" uniqueCount="323">
  <si>
    <t xml:space="preserve">Revenue Share, Reconciliation &amp; Profitability Model — Work Sample</t>
  </si>
  <si>
    <t xml:space="preserve">ILLUSTRATIVE DATA ONLY — all processors, partners, merchants and figures are fictional.</t>
  </si>
  <si>
    <t xml:space="preserve">Purpose</t>
  </si>
  <si>
    <t xml:space="preserve">Demonstrates an end-to-end residual revenue workflow: normalized source data → merchant/partner mapping → revenue-share rules → partner payouts → company net revenue → bank reconciliation → profitability → forecast.</t>
  </si>
  <si>
    <t xml:space="preserve">Data flow</t>
  </si>
  <si>
    <t xml:space="preserve">Residual_Data → Merchant_Map + Partner_Rules → Rev_Share_Calc → Reconciliation → Profitability → Forecast</t>
  </si>
  <si>
    <t xml:space="preserve">Tab</t>
  </si>
  <si>
    <t xml:space="preserve">What it does</t>
  </si>
  <si>
    <t xml:space="preserve">Partner_Rules</t>
  </si>
  <si>
    <t xml:space="preserve">Default partner splits and split-of-split (sub-partner) rules.</t>
  </si>
  <si>
    <t xml:space="preserve">Merchant_Map</t>
  </si>
  <si>
    <t xml:space="preserve">Merchant/DBA → processor, gateway, partner; merchant-level split overrides; effective split.</t>
  </si>
  <si>
    <t xml:space="preserve">Residual_Data</t>
  </si>
  <si>
    <t xml:space="preserve">Normalized monthly source data (one row per merchant / source / revenue type / month). Partner payout and net revenue calculated per row.</t>
  </si>
  <si>
    <t xml:space="preserve">Rev_Share_Calc</t>
  </si>
  <si>
    <t xml:space="preserve">Selected-month payout calc by merchant, exception flags (missing residual, MoM swings), partner payout summary incl. paid vs. outstanding.</t>
  </si>
  <si>
    <t xml:space="preserve">Reconciliation</t>
  </si>
  <si>
    <t xml:space="preserve">Report-to-bank reconciliation by source with variance categorization, owner, status and an unexplained-variance check.</t>
  </si>
  <si>
    <t xml:space="preserve">Profitability</t>
  </si>
  <si>
    <t xml:space="preserve">TTM volume, gross revenue, residual yield, partner payout and net revenue by processor and partner; monthly trend.</t>
  </si>
  <si>
    <t xml:space="preserve">Forecast</t>
  </si>
  <si>
    <t xml:space="preserve">12-month driver-based forecast (volume growth, attrition, yield, payout %) with Downside/Base/Upside selector.</t>
  </si>
  <si>
    <t xml:space="preserve">Portal_Audit</t>
  </si>
  <si>
    <t xml:space="preserve">Processor/gateway portal inventory: reporting capability, data access, and access governance (2FA, offboarding).</t>
  </si>
  <si>
    <t xml:space="preserve">Legend</t>
  </si>
  <si>
    <t xml:space="preserve">Blue text</t>
  </si>
  <si>
    <t xml:space="preserve">Hardcoded input / source data — edit these</t>
  </si>
  <si>
    <t xml:space="preserve">Black text</t>
  </si>
  <si>
    <t xml:space="preserve">Formula — do not edit</t>
  </si>
  <si>
    <t xml:space="preserve">Green text</t>
  </si>
  <si>
    <t xml:space="preserve">Link to another tab</t>
  </si>
  <si>
    <t xml:space="preserve">Yellow fill</t>
  </si>
  <si>
    <t xml:space="preserve">Key assumption or selector</t>
  </si>
  <si>
    <t xml:space="preserve">Key definitions</t>
  </si>
  <si>
    <t xml:space="preserve">Gross Revenue</t>
  </si>
  <si>
    <t xml:space="preserve">Processing residual + gateway fees, as reported by source. Processor residuals are reported net of processing expense — no further cost is deducted (avoids double-counting).</t>
  </si>
  <si>
    <t xml:space="preserve">Residual Yield</t>
  </si>
  <si>
    <t xml:space="preserve">Processing Residual ÷ Processing Volume, shown in basis points.</t>
  </si>
  <si>
    <t xml:space="preserve">Partner Payout</t>
  </si>
  <si>
    <t xml:space="preserve">Gross Revenue × Effective Split. Effective split = merchant override if present, else partner default.</t>
  </si>
  <si>
    <t xml:space="preserve">Split-of-split</t>
  </si>
  <si>
    <t xml:space="preserve">Sub-partner receives a % of the parent partner's payout; parent is paid net of it. Company cost is unchanged.</t>
  </si>
  <si>
    <t xml:space="preserve">Company Net Revenue</t>
  </si>
  <si>
    <t xml:space="preserve">Gross Revenue − total Partner Payout. Not true net profit: operating cost allocation is out of scope.</t>
  </si>
  <si>
    <t xml:space="preserve">Partner Revenue-Share Rules</t>
  </si>
  <si>
    <t xml:space="preserve">Partner</t>
  </si>
  <si>
    <t xml:space="preserve">Default Split %</t>
  </si>
  <si>
    <t xml:space="preserve">Sub-Partner (Split-of-Split)</t>
  </si>
  <si>
    <t xml:space="preserve">Sub-Partner % of Partner Payout</t>
  </si>
  <si>
    <t xml:space="preserve">Notes</t>
  </si>
  <si>
    <t xml:space="preserve">House (Direct)</t>
  </si>
  <si>
    <t xml:space="preserve">No partner — company retains 100%</t>
  </si>
  <si>
    <t xml:space="preserve">Partner Alpha</t>
  </si>
  <si>
    <t xml:space="preserve">Standard referral agreement</t>
  </si>
  <si>
    <t xml:space="preserve">Partner Beta</t>
  </si>
  <si>
    <t xml:space="preserve">Partner Gamma</t>
  </si>
  <si>
    <t xml:space="preserve">Pays 25% of its share to Partner Gamma</t>
  </si>
  <si>
    <t xml:space="preserve">Paid only via Beta split-of-split</t>
  </si>
  <si>
    <t xml:space="preserve">Partner Delta</t>
  </si>
  <si>
    <t xml:space="preserve">Agency agreement; merchant overrides possible</t>
  </si>
  <si>
    <t xml:space="preserve">Merchant / DBA Mapping</t>
  </si>
  <si>
    <t xml:space="preserve">Merchant ID</t>
  </si>
  <si>
    <t xml:space="preserve">DBA</t>
  </si>
  <si>
    <t xml:space="preserve">Processor</t>
  </si>
  <si>
    <t xml:space="preserve">Gateway</t>
  </si>
  <si>
    <t xml:space="preserve">Override Split %</t>
  </si>
  <si>
    <t xml:space="preserve">Effective Split %</t>
  </si>
  <si>
    <t xml:space="preserve">Sub-Partner %</t>
  </si>
  <si>
    <t xml:space="preserve">M-001</t>
  </si>
  <si>
    <t xml:space="preserve">Merchant 001 (DBA)</t>
  </si>
  <si>
    <t xml:space="preserve">Processor A</t>
  </si>
  <si>
    <t xml:space="preserve">None</t>
  </si>
  <si>
    <t xml:space="preserve">M-002</t>
  </si>
  <si>
    <t xml:space="preserve">Merchant 002 (DBA)</t>
  </si>
  <si>
    <t xml:space="preserve">Processor B</t>
  </si>
  <si>
    <t xml:space="preserve">Gateway G</t>
  </si>
  <si>
    <t xml:space="preserve">M-003</t>
  </si>
  <si>
    <t xml:space="preserve">Merchant 003 (DBA)</t>
  </si>
  <si>
    <t xml:space="preserve">Processor C</t>
  </si>
  <si>
    <t xml:space="preserve">M-004</t>
  </si>
  <si>
    <t xml:space="preserve">Merchant 004 (DBA)</t>
  </si>
  <si>
    <t xml:space="preserve">Processor D</t>
  </si>
  <si>
    <t xml:space="preserve">M-005</t>
  </si>
  <si>
    <t xml:space="preserve">Merchant 005 (DBA)</t>
  </si>
  <si>
    <t xml:space="preserve">M-006</t>
  </si>
  <si>
    <t xml:space="preserve">Merchant 006 (DBA)</t>
  </si>
  <si>
    <t xml:space="preserve">M-007</t>
  </si>
  <si>
    <t xml:space="preserve">Merchant 007 (DBA)</t>
  </si>
  <si>
    <t xml:space="preserve">M-008</t>
  </si>
  <si>
    <t xml:space="preserve">Merchant 008 (DBA)</t>
  </si>
  <si>
    <t xml:space="preserve">M-009</t>
  </si>
  <si>
    <t xml:space="preserve">Merchant 009 (DBA)</t>
  </si>
  <si>
    <t xml:space="preserve">M-010</t>
  </si>
  <si>
    <t xml:space="preserve">Merchant 010 (DBA)</t>
  </si>
  <si>
    <t xml:space="preserve">M-011</t>
  </si>
  <si>
    <t xml:space="preserve">Merchant 011 (DBA)</t>
  </si>
  <si>
    <t xml:space="preserve">M-012</t>
  </si>
  <si>
    <t xml:space="preserve">Merchant 012 (DBA)</t>
  </si>
  <si>
    <t xml:space="preserve">M-013</t>
  </si>
  <si>
    <t xml:space="preserve">Merchant 013 (DBA)</t>
  </si>
  <si>
    <t xml:space="preserve">M-014</t>
  </si>
  <si>
    <t xml:space="preserve">Merchant 014 (DBA)</t>
  </si>
  <si>
    <t xml:space="preserve">M-015</t>
  </si>
  <si>
    <t xml:space="preserve">Merchant 015 (DBA)</t>
  </si>
  <si>
    <t xml:space="preserve">M-016</t>
  </si>
  <si>
    <t xml:space="preserve">Merchant 016 (DBA)</t>
  </si>
  <si>
    <t xml:space="preserve">M-017</t>
  </si>
  <si>
    <t xml:space="preserve">Merchant 017 (DBA)</t>
  </si>
  <si>
    <t xml:space="preserve">M-018</t>
  </si>
  <si>
    <t xml:space="preserve">Merchant 018 (DBA)</t>
  </si>
  <si>
    <t xml:space="preserve">M-019</t>
  </si>
  <si>
    <t xml:space="preserve">Merchant 019 (DBA)</t>
  </si>
  <si>
    <t xml:space="preserve">M-020</t>
  </si>
  <si>
    <t xml:space="preserve">Merchant 020 (DBA)</t>
  </si>
  <si>
    <t xml:space="preserve">Normalized Residual Source Data</t>
  </si>
  <si>
    <t xml:space="preserve">ILLUSTRATIVE DATA ONLY — all processors, partners, merchants and figures are fictional. Month stored as text (YYYY-MM).</t>
  </si>
  <si>
    <t xml:space="preserve">Month</t>
  </si>
  <si>
    <t xml:space="preserve">Source</t>
  </si>
  <si>
    <t xml:space="preserve">Revenue Type</t>
  </si>
  <si>
    <t xml:space="preserve">Volume ($)</t>
  </si>
  <si>
    <t xml:space="preserve">Gross Revenue ($)</t>
  </si>
  <si>
    <t xml:space="preserve">Partner Payout ($)</t>
  </si>
  <si>
    <t xml:space="preserve">Company Net ($)</t>
  </si>
  <si>
    <t xml:space="preserve">2025-10</t>
  </si>
  <si>
    <t xml:space="preserve">Processing Residual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</si>
  <si>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</si>
  <si>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</si>
  <si>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</si>
  <si>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</si>
  <si>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</si>
  <si>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</si>
  <si>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</si>
  <si>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</si>
  <si>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</si>
  <si>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</si>
  <si>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</si>
  <si>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Gateway Fee</t>
  </si>
  <si>
    <t xml:space="preserve">Monthly Revenue Share &amp; Partner Payout Calculation</t>
  </si>
  <si>
    <t xml:space="preserve">Selected Month</t>
  </si>
  <si>
    <t xml:space="preserve">Change the selected/prior month (YYYY-MM) to recalculate the entire sheet.</t>
  </si>
  <si>
    <t xml:space="preserve">Prior Month</t>
  </si>
  <si>
    <t xml:space="preserve">Processing Residual ($)</t>
  </si>
  <si>
    <t xml:space="preserve">Gateway Fee ($)</t>
  </si>
  <si>
    <t xml:space="preserve">Total Gross Revenue ($)</t>
  </si>
  <si>
    <t xml:space="preserve">of which Sub-Partner ($)</t>
  </si>
  <si>
    <t xml:space="preserve">Company Net Revenue ($)</t>
  </si>
  <si>
    <t xml:space="preserve">Prior Month Gross ($)</t>
  </si>
  <si>
    <t xml:space="preserve">MoM Change %</t>
  </si>
  <si>
    <t xml:space="preserve">Exception Flag</t>
  </si>
  <si>
    <t xml:space="preserve">TOTAL</t>
  </si>
  <si>
    <t xml:space="preserve">Partner Payout Summary — Selected Month</t>
  </si>
  <si>
    <t xml:space="preserve">Gross Revenue Attributed ($)</t>
  </si>
  <si>
    <t xml:space="preserve">Payout Earned ($)</t>
  </si>
  <si>
    <t xml:space="preserve">Effective Share %</t>
  </si>
  <si>
    <t xml:space="preserve">Amount Paid ($)</t>
  </si>
  <si>
    <t xml:space="preserve">Outstanding ($)</t>
  </si>
  <si>
    <t xml:space="preserve">Status</t>
  </si>
  <si>
    <t xml:space="preserve">Note: Beta payout is shown net of Gamma's split-of-split share; total partner cost is unchanged.</t>
  </si>
  <si>
    <t xml:space="preserve">Residual Report-to-Bank Reconciliation</t>
  </si>
  <si>
    <t xml:space="preserve">Reconciliation Month</t>
  </si>
  <si>
    <t xml:space="preserve">Preparer / Reviewer</t>
  </si>
  <si>
    <t xml:space="preserve">[Preparer] / [Reviewer]</t>
  </si>
  <si>
    <t xml:space="preserve">Expected per Report ($)</t>
  </si>
  <si>
    <t xml:space="preserve">Bank Deposit ($)</t>
  </si>
  <si>
    <t xml:space="preserve">Variance ($)</t>
  </si>
  <si>
    <t xml:space="preserve">Variance %</t>
  </si>
  <si>
    <t xml:space="preserve">Variance Category</t>
  </si>
  <si>
    <t xml:space="preserve">Explanation</t>
  </si>
  <si>
    <t xml:space="preserve">Owner</t>
  </si>
  <si>
    <t xml:space="preserve">Bank Ref / Date</t>
  </si>
  <si>
    <t xml:space="preserve">Category list</t>
  </si>
  <si>
    <t xml:space="preserve">Ties to report</t>
  </si>
  <si>
    <t xml:space="preserve">Finance Ops</t>
  </si>
  <si>
    <t xml:space="preserve">Closed</t>
  </si>
  <si>
    <t xml:space="preserve">Stmt 09/30</t>
  </si>
  <si>
    <t xml:space="preserve">Fees</t>
  </si>
  <si>
    <t xml:space="preserve">Monthly portal fee netted from deposit; book to expense. See missing-residual exception M-018</t>
  </si>
  <si>
    <t xml:space="preserve">Timing</t>
  </si>
  <si>
    <t xml:space="preserve">Processor Adjustment</t>
  </si>
  <si>
    <t xml:space="preserve">Prior-month chargeback residual clawback (M-011); support requested</t>
  </si>
  <si>
    <t xml:space="preserve">Open</t>
  </si>
  <si>
    <t xml:space="preserve">Reserve Activity</t>
  </si>
  <si>
    <t xml:space="preserve">Sep gateway fees deposited 10/02/2026; clears in Oct</t>
  </si>
  <si>
    <t xml:space="preserve">Recv'd 10/02</t>
  </si>
  <si>
    <t xml:space="preserve">Refunds</t>
  </si>
  <si>
    <t xml:space="preserve">Chargebacks</t>
  </si>
  <si>
    <t xml:space="preserve">ACH Rejects</t>
  </si>
  <si>
    <t xml:space="preserve">Control checks</t>
  </si>
  <si>
    <t xml:space="preserve">Variance with no category ($)</t>
  </si>
  <si>
    <t xml:space="preserve">Missing Data</t>
  </si>
  <si>
    <t xml:space="preserve">Timing items (clear next month) ($)</t>
  </si>
  <si>
    <t xml:space="preserve">Duplicate Data</t>
  </si>
  <si>
    <t xml:space="preserve">Non-timing variance requiring action ($)</t>
  </si>
  <si>
    <t xml:space="preserve">True Error</t>
  </si>
  <si>
    <t xml:space="preserve">Open items (count)</t>
  </si>
  <si>
    <t xml:space="preserve">Rec status</t>
  </si>
  <si>
    <t xml:space="preserve">Report total ties to Rev_Share_Calc gross</t>
  </si>
  <si>
    <t xml:space="preserve">Missing / Zero Residual Exception Log (from Rev_Share_Calc flags)</t>
  </si>
  <si>
    <t xml:space="preserve">Current Gross ($)</t>
  </si>
  <si>
    <t xml:space="preserve">At-Risk Revenue ($)</t>
  </si>
  <si>
    <t xml:space="preserve">Root Cause</t>
  </si>
  <si>
    <t xml:space="preserve">Action</t>
  </si>
  <si>
    <t xml:space="preserve">Target Date</t>
  </si>
  <si>
    <t xml:space="preserve">Merchant closure confirmed by processor (account closed 09/12)</t>
  </si>
  <si>
    <t xml:space="preserve">Remove from forecast; confirm final residual</t>
  </si>
  <si>
    <t xml:space="preserve">—</t>
  </si>
  <si>
    <t xml:space="preserve">Merchant processed volume but missing from processor residual report</t>
  </si>
  <si>
    <t xml:space="preserve">Escalate to processor rep; request corrected report</t>
  </si>
  <si>
    <t xml:space="preserve">11/15/2026</t>
  </si>
  <si>
    <t xml:space="preserve">New merchant ramp (onboarded Jul-26) — expected MoM increase</t>
  </si>
  <si>
    <t xml:space="preserve">No action; monitor ramp vs. forecast</t>
  </si>
  <si>
    <t xml:space="preserve">Profitability — Trailing 12 Months (Oct-25 to Sep-26)</t>
  </si>
  <si>
    <t xml:space="preserve">Gross residual is reported net of processor expense; no additional processing cost deducted. Operating cost allocation is out of scope, so Net Revenue ≠ true net profit.</t>
  </si>
  <si>
    <t xml:space="preserve">Residual Yield (bps)</t>
  </si>
  <si>
    <t xml:space="preserve">Net Retention %</t>
  </si>
  <si>
    <t xml:space="preserve">% of Total Net</t>
  </si>
  <si>
    <t xml:space="preserve">Partner Beta payout includes Partner Gamma's split-of-split share (paid through Beta's agreement).</t>
  </si>
  <si>
    <t xml:space="preserve">Monthly Trend</t>
  </si>
  <si>
    <t xml:space="preserve">MoM Net Δ %</t>
  </si>
  <si>
    <t xml:space="preserve">Check: TTM total ties to monthly trend</t>
  </si>
  <si>
    <t xml:space="preserve">12-Month Residual &amp; Payout Forecast (Oct-26 to Sep-27)</t>
  </si>
  <si>
    <t xml:space="preserve">Scenario (1=Downside, 2=Base, 3=Upside)</t>
  </si>
  <si>
    <t xml:space="preserve">Active scenario</t>
  </si>
  <si>
    <t xml:space="preserve">Assumption</t>
  </si>
  <si>
    <t xml:space="preserve">Downside</t>
  </si>
  <si>
    <t xml:space="preserve">Base</t>
  </si>
  <si>
    <t xml:space="preserve">Upside</t>
  </si>
  <si>
    <t xml:space="preserve">Active</t>
  </si>
  <si>
    <t xml:space="preserve">Source / Rationale</t>
  </si>
  <si>
    <t xml:space="preserve">Monthly volume growth %</t>
  </si>
  <si>
    <t xml:space="preserve">Base = TTM avg organic growth (illustrative)</t>
  </si>
  <si>
    <t xml:space="preserve">Monthly volume attrition %</t>
  </si>
  <si>
    <t xml:space="preserve">Merchant closures / churn; Sep-26 closure (M-005) informs downside</t>
  </si>
  <si>
    <t xml:space="preserve">Monthly gateway fee growth %</t>
  </si>
  <si>
    <t xml:space="preserve">Tracks gateway transaction count</t>
  </si>
  <si>
    <t xml:space="preserve">Starting volume (Sep-26 actual)</t>
  </si>
  <si>
    <t xml:space="preserve">Link: Rev_Share_Calc total</t>
  </si>
  <si>
    <t xml:space="preserve">Residual yield (bps, TTM blended)</t>
  </si>
  <si>
    <t xml:space="preserve">Link: Profitability TTM yield</t>
  </si>
  <si>
    <t xml:space="preserve">Starting gateway fees (Sep-26 actual)</t>
  </si>
  <si>
    <t xml:space="preserve">Link: Rev_Share_Calc</t>
  </si>
  <si>
    <t xml:space="preserve">Blended partner payout % (TTM)</t>
  </si>
  <si>
    <t xml:space="preserve">Link: TTM payout ÷ gross; assumes stable partner mix</t>
  </si>
  <si>
    <t xml:space="preserve">Recovery of missing residual (M-018) in Oct-26 ($)</t>
  </si>
  <si>
    <t xml:space="preserve">One-time; assumes processor issues corrected report</t>
  </si>
  <si>
    <t xml:space="preserve">Line item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</si>
  <si>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</si>
  <si>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</si>
  <si>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</si>
  <si>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</si>
  <si>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</si>
  <si>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</si>
  <si>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</si>
  <si>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</si>
  <si>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</si>
  <si>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</si>
  <si>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</si>
  <si>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</si>
  <si>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FY Total</t>
  </si>
  <si>
    <t xml:space="preserve">Processing Volume ($)</t>
  </si>
  <si>
    <t xml:space="preserve">Gateway Fees ($)</t>
  </si>
  <si>
    <t xml:space="preserve">One-time Recovery ($)</t>
  </si>
  <si>
    <t xml:space="preserve">vs. TTM actual net revenue</t>
  </si>
  <si>
    <t xml:space="preserve">Risks: partner mix shift changes payout %; processor pricing changes move yield; forecast excludes new partner signings and operating costs.</t>
  </si>
  <si>
    <t xml:space="preserve">Processor &amp; Gateway Portal Audit Matrix</t>
  </si>
  <si>
    <t xml:space="preserve">ILLUSTRATIVE DATA ONLY — all processors, partners, merchants and figures are fictional. Template: rows 5–8 are examples; add one row per portal.</t>
  </si>
  <si>
    <t xml:space="preserve">Portal / Company</t>
  </si>
  <si>
    <t xml:space="preserve">Relationship Type</t>
  </si>
  <si>
    <t xml:space="preserve">Residual Report</t>
  </si>
  <si>
    <t xml:space="preserve">Merchant Statements</t>
  </si>
  <si>
    <t xml:space="preserve">Volume Detail</t>
  </si>
  <si>
    <t xml:space="preserve">Funding / Deposits</t>
  </si>
  <si>
    <t xml:space="preserve">Reserves</t>
  </si>
  <si>
    <t xml:space="preserve">MID-Level Detail</t>
  </si>
  <si>
    <t xml:space="preserve">History Depth</t>
  </si>
  <si>
    <t xml:space="preserve">Export Formats</t>
  </si>
  <si>
    <t xml:space="preserve">Scheduled Reports</t>
  </si>
  <si>
    <t xml:space="preserve">API / Data Feed</t>
  </si>
  <si>
    <t xml:space="preserve">Best Source-of-Truth Report</t>
  </si>
  <si>
    <t xml:space="preserve">Automation Potential</t>
  </si>
  <si>
    <t xml:space="preserve">2FA Required</t>
  </si>
  <si>
    <t xml:space="preserve">2FA Destination</t>
  </si>
  <si>
    <t xml:space="preserve">User Model</t>
  </si>
  <si>
    <t xml:space="preserve">Company-Controlled MFA</t>
  </si>
  <si>
    <t xml:space="preserve">Offboarding Process Documented</t>
  </si>
  <si>
    <t xml:space="preserve">Gaps / Actions</t>
  </si>
  <si>
    <t xml:space="preserve">Direct ISO</t>
  </si>
  <si>
    <t xml:space="preserve">Residuals, statements</t>
  </si>
  <si>
    <t xml:space="preserve">Y</t>
  </si>
  <si>
    <t xml:space="preserve">24 mo</t>
  </si>
  <si>
    <t xml:space="preserve">CSV, PDF</t>
  </si>
  <si>
    <t xml:space="preserve">N</t>
  </si>
  <si>
    <t xml:space="preserve">Monthly Residual Detail (CSV)</t>
  </si>
  <si>
    <t xml:space="preserve">High</t>
  </si>
  <si>
    <t xml:space="preserve">Shared mailbox</t>
  </si>
  <si>
    <t xml:space="preserve">Individual</t>
  </si>
  <si>
    <t xml:space="preserve">Agency → ISO</t>
  </si>
  <si>
    <t xml:space="preserve">Residuals only</t>
  </si>
  <si>
    <t xml:space="preserve">12 mo</t>
  </si>
  <si>
    <t xml:space="preserve">XLSX</t>
  </si>
  <si>
    <t xml:space="preserve">Residual Summary (XLSX)</t>
  </si>
  <si>
    <t xml:space="preserve">Medium</t>
  </si>
  <si>
    <t xml:space="preserve">Personal mobile</t>
  </si>
  <si>
    <t xml:space="preserve">Shared login</t>
  </si>
  <si>
    <t xml:space="preserve">Move 2FA to company device; request individual users</t>
  </si>
  <si>
    <t xml:space="preserve">Residuals, chargebacks</t>
  </si>
  <si>
    <t xml:space="preserve">36 mo</t>
  </si>
  <si>
    <t xml:space="preserve">CSV, API</t>
  </si>
  <si>
    <t xml:space="preserve">API residual endpoint</t>
  </si>
  <si>
    <t xml:space="preserve">Authenticator app</t>
  </si>
  <si>
    <t xml:space="preserve">Build API pull (Phase 2)</t>
  </si>
  <si>
    <t xml:space="preserve">Gateway reseller</t>
  </si>
  <si>
    <t xml:space="preserve">Gateway billing, merchant config</t>
  </si>
  <si>
    <t xml:space="preserve">18 mo</t>
  </si>
  <si>
    <t xml:space="preserve">CSV</t>
  </si>
  <si>
    <t xml:space="preserve">Merchant Billing Export</t>
  </si>
  <si>
    <t xml:space="preserve">Enable 2FA; document offboarding</t>
  </si>
  <si>
    <t xml:space="preserve">Governance summary</t>
  </si>
  <si>
    <t xml:space="preserve">Portals audited</t>
  </si>
  <si>
    <t xml:space="preserve">Shared logins</t>
  </si>
  <si>
    <t xml:space="preserve">No 2FA</t>
  </si>
  <si>
    <t xml:space="preserve">No documented offboarding</t>
  </si>
  <si>
    <t xml:space="preserve">API / data feed available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</si>
</sst>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\(0.0%\);\-"/>
    <numFmt numFmtId="166" formatCode="\$#,##0;&quot;($&quot;#,##0\);\-"/>
    <numFmt numFmtId="167" formatCode="\$#,##0.00;&quot;($&quot;#,##0.00\);\-"/>
    <numFmt numFmtId="168" formatCode="0.0&quot; bps&quot;;\(0.0&quot; bps)&quot;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E8EE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5"/>
      <c r="B6" s="4"/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5" t="s">
        <v>8</v>
      </c>
      <c r="B8" s="4" t="s">
        <v>9</v>
      </c>
    </row>
    <row r="9" customFormat="false" ht="15" hidden="false" customHeight="false" outlineLevel="0" collapsed="false">
      <c r="A9" s="5" t="s">
        <v>10</v>
      </c>
      <c r="B9" s="4" t="s">
        <v>11</v>
      </c>
    </row>
    <row r="10" customFormat="false" ht="23.85" hidden="false" customHeight="false" outlineLevel="0" collapsed="false">
      <c r="A10" s="5" t="s">
        <v>12</v>
      </c>
      <c r="B10" s="4" t="s">
        <v>13</v>
      </c>
    </row>
    <row r="11" customFormat="false" ht="23.85" hidden="false" customHeight="false" outlineLevel="0" collapsed="false">
      <c r="A11" s="5" t="s">
        <v>14</v>
      </c>
      <c r="B11" s="4" t="s">
        <v>15</v>
      </c>
    </row>
    <row r="12" customFormat="false" ht="15" hidden="false" customHeight="false" outlineLevel="0" collapsed="false">
      <c r="A12" s="5" t="s">
        <v>16</v>
      </c>
      <c r="B12" s="4" t="s">
        <v>17</v>
      </c>
    </row>
    <row r="13" customFormat="false" ht="15" hidden="false" customHeight="false" outlineLevel="0" collapsed="false">
      <c r="A13" s="5" t="s">
        <v>18</v>
      </c>
      <c r="B13" s="4" t="s">
        <v>19</v>
      </c>
    </row>
    <row r="14" customFormat="false" ht="15" hidden="false" customHeight="false" outlineLevel="0" collapsed="false">
      <c r="A14" s="5" t="s">
        <v>20</v>
      </c>
      <c r="B14" s="4" t="s">
        <v>21</v>
      </c>
    </row>
    <row r="15" customFormat="false" ht="15" hidden="false" customHeight="false" outlineLevel="0" collapsed="false">
      <c r="A15" s="5" t="s">
        <v>22</v>
      </c>
      <c r="B15" s="4" t="s">
        <v>23</v>
      </c>
    </row>
    <row r="16" customFormat="false" ht="15" hidden="false" customHeight="false" outlineLevel="0" collapsed="false">
      <c r="A16" s="5"/>
      <c r="B16" s="4"/>
    </row>
    <row r="17" customFormat="false" ht="15" hidden="false" customHeight="false" outlineLevel="0" collapsed="false">
      <c r="A17" s="3" t="s">
        <v>24</v>
      </c>
      <c r="B17" s="4"/>
    </row>
    <row r="18" customFormat="false" ht="15" hidden="false" customHeight="false" outlineLevel="0" collapsed="false">
      <c r="A18" s="6" t="s">
        <v>25</v>
      </c>
      <c r="B18" s="4" t="s">
        <v>26</v>
      </c>
    </row>
    <row r="19" customFormat="false" ht="15" hidden="false" customHeight="false" outlineLevel="0" collapsed="false">
      <c r="A19" s="5" t="s">
        <v>27</v>
      </c>
      <c r="B19" s="4" t="s">
        <v>28</v>
      </c>
    </row>
    <row r="20" customFormat="false" ht="15" hidden="false" customHeight="false" outlineLevel="0" collapsed="false">
      <c r="A20" s="7" t="s">
        <v>29</v>
      </c>
      <c r="B20" s="4" t="s">
        <v>30</v>
      </c>
    </row>
    <row r="21" customFormat="false" ht="15" hidden="false" customHeight="false" outlineLevel="0" collapsed="false">
      <c r="A21" s="8" t="s">
        <v>31</v>
      </c>
      <c r="B21" s="4" t="s">
        <v>32</v>
      </c>
    </row>
    <row r="22" customFormat="false" ht="15" hidden="false" customHeight="false" outlineLevel="0" collapsed="false">
      <c r="A22" s="5"/>
      <c r="B22" s="4"/>
    </row>
    <row r="23" customFormat="false" ht="15" hidden="false" customHeight="false" outlineLevel="0" collapsed="false">
      <c r="A23" s="3" t="s">
        <v>33</v>
      </c>
      <c r="B23" s="4"/>
    </row>
    <row r="24" customFormat="false" ht="23.85" hidden="false" customHeight="false" outlineLevel="0" collapsed="false">
      <c r="A24" s="5" t="s">
        <v>34</v>
      </c>
      <c r="B24" s="4" t="s">
        <v>35</v>
      </c>
    </row>
    <row r="25" customFormat="false" ht="15" hidden="false" customHeight="false" outlineLevel="0" collapsed="false">
      <c r="A25" s="5" t="s">
        <v>36</v>
      </c>
      <c r="B25" s="4" t="s">
        <v>37</v>
      </c>
    </row>
    <row r="26" customFormat="false" ht="15" hidden="false" customHeight="false" outlineLevel="0" collapsed="false">
      <c r="A26" s="5" t="s">
        <v>38</v>
      </c>
      <c r="B26" s="4" t="s">
        <v>39</v>
      </c>
    </row>
    <row r="27" customFormat="false" ht="15" hidden="false" customHeight="false" outlineLevel="0" collapsed="false">
      <c r="A27" s="5" t="s">
        <v>40</v>
      </c>
      <c r="B27" s="4" t="s">
        <v>41</v>
      </c>
    </row>
    <row r="28" customFormat="false" ht="15" hidden="false" customHeight="false" outlineLevel="0" collapsed="false">
      <c r="A28" s="5" t="s">
        <v>42</v>
      </c>
      <c r="B28" s="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9" t="s">
        <v>45</v>
      </c>
      <c r="B4" s="9" t="s">
        <v>46</v>
      </c>
      <c r="C4" s="9" t="s">
        <v>47</v>
      </c>
      <c r="D4" s="9" t="s">
        <v>48</v>
      </c>
      <c r="E4" s="9" t="s">
        <v>49</v>
      </c>
    </row>
    <row r="5" customFormat="false" ht="15" hidden="false" customHeight="false" outlineLevel="0" collapsed="false">
      <c r="A5" s="6" t="s">
        <v>50</v>
      </c>
      <c r="B5" s="10" t="n">
        <v>0</v>
      </c>
      <c r="C5" s="6"/>
      <c r="D5" s="10" t="n">
        <v>0</v>
      </c>
      <c r="E5" s="5" t="s">
        <v>51</v>
      </c>
    </row>
    <row r="6" customFormat="false" ht="15" hidden="false" customHeight="false" outlineLevel="0" collapsed="false">
      <c r="A6" s="6" t="s">
        <v>52</v>
      </c>
      <c r="B6" s="10" t="n">
        <v>0.4</v>
      </c>
      <c r="C6" s="6"/>
      <c r="D6" s="10" t="n">
        <v>0</v>
      </c>
      <c r="E6" s="5" t="s">
        <v>53</v>
      </c>
    </row>
    <row r="7" customFormat="false" ht="15" hidden="false" customHeight="false" outlineLevel="0" collapsed="false">
      <c r="A7" s="6" t="s">
        <v>54</v>
      </c>
      <c r="B7" s="10" t="n">
        <v>0.35</v>
      </c>
      <c r="C7" s="6" t="s">
        <v>55</v>
      </c>
      <c r="D7" s="10" t="n">
        <v>0.25</v>
      </c>
      <c r="E7" s="5" t="s">
        <v>56</v>
      </c>
    </row>
    <row r="8" customFormat="false" ht="15" hidden="false" customHeight="false" outlineLevel="0" collapsed="false">
      <c r="A8" s="6" t="s">
        <v>55</v>
      </c>
      <c r="B8" s="10" t="n">
        <v>0</v>
      </c>
      <c r="C8" s="6"/>
      <c r="D8" s="10" t="n">
        <v>0</v>
      </c>
      <c r="E8" s="5" t="s">
        <v>57</v>
      </c>
    </row>
    <row r="9" customFormat="false" ht="15" hidden="false" customHeight="false" outlineLevel="0" collapsed="false">
      <c r="A9" s="6" t="s">
        <v>58</v>
      </c>
      <c r="B9" s="10" t="n">
        <v>0.5</v>
      </c>
      <c r="C9" s="6"/>
      <c r="D9" s="10" t="n">
        <v>0</v>
      </c>
      <c r="E9" s="5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9" t="s">
        <v>61</v>
      </c>
      <c r="B4" s="9" t="s">
        <v>62</v>
      </c>
      <c r="C4" s="9" t="s">
        <v>63</v>
      </c>
      <c r="D4" s="9" t="s">
        <v>64</v>
      </c>
      <c r="E4" s="9" t="s">
        <v>45</v>
      </c>
      <c r="F4" s="9" t="s">
        <v>65</v>
      </c>
      <c r="G4" s="9" t="s">
        <v>66</v>
      </c>
      <c r="H4" s="9" t="s">
        <v>67</v>
      </c>
    </row>
    <row r="5" customFormat="false" ht="15" hidden="false" customHeight="false" outlineLevel="0" collapsed="false">
      <c r="A5" s="6" t="s">
        <v>68</v>
      </c>
      <c r="B5" s="6" t="s">
        <v>69</v>
      </c>
      <c r="C5" s="6" t="s">
        <v>70</v>
      </c>
      <c r="D5" s="6" t="s">
        <v>71</v>
      </c>
      <c r="E5" s="6" t="s">
        <v>52</v>
      </c>
      <c r="F5" s="10"/>
      <c r="G5" s="11" t="n">
        <f aca="false">IF(F5&lt;&gt;"",F5,INDEX(Partner_Rules!$B$5:$B$9,MATCH(E5,Partner_Rules!$A$5:$A$9,0)))</f>
        <v>0.4</v>
      </c>
      <c r="H5" s="11" t="n">
        <f aca="false">INDEX(Partner_Rules!$D$5:$D$9,MATCH(E5,Partner_Rules!$A$5:$A$9,0))</f>
        <v>0</v>
      </c>
    </row>
    <row r="6" customFormat="false" ht="15" hidden="false" customHeight="false" outlineLevel="0" collapsed="false">
      <c r="A6" s="6" t="s">
        <v>72</v>
      </c>
      <c r="B6" s="6" t="s">
        <v>73</v>
      </c>
      <c r="C6" s="6" t="s">
        <v>74</v>
      </c>
      <c r="D6" s="6" t="s">
        <v>75</v>
      </c>
      <c r="E6" s="6" t="s">
        <v>54</v>
      </c>
      <c r="F6" s="10"/>
      <c r="G6" s="11" t="n">
        <f aca="false">IF(F6&lt;&gt;"",F6,INDEX(Partner_Rules!$B$5:$B$9,MATCH(E6,Partner_Rules!$A$5:$A$9,0)))</f>
        <v>0.35</v>
      </c>
      <c r="H6" s="11" t="n">
        <f aca="false">INDEX(Partner_Rules!$D$5:$D$9,MATCH(E6,Partner_Rules!$A$5:$A$9,0))</f>
        <v>0.25</v>
      </c>
    </row>
    <row r="7" customFormat="false" ht="15" hidden="false" customHeight="false" outlineLevel="0" collapsed="false">
      <c r="A7" s="6" t="s">
        <v>76</v>
      </c>
      <c r="B7" s="6" t="s">
        <v>77</v>
      </c>
      <c r="C7" s="6" t="s">
        <v>78</v>
      </c>
      <c r="D7" s="6" t="s">
        <v>71</v>
      </c>
      <c r="E7" s="6" t="s">
        <v>50</v>
      </c>
      <c r="F7" s="10"/>
      <c r="G7" s="11" t="n">
        <f aca="false">IF(F7&lt;&gt;"",F7,INDEX(Partner_Rules!$B$5:$B$9,MATCH(E7,Partner_Rules!$A$5:$A$9,0)))</f>
        <v>0</v>
      </c>
      <c r="H7" s="11" t="n">
        <f aca="false">INDEX(Partner_Rules!$D$5:$D$9,MATCH(E7,Partner_Rules!$A$5:$A$9,0))</f>
        <v>0</v>
      </c>
    </row>
    <row r="8" customFormat="false" ht="15" hidden="false" customHeight="false" outlineLevel="0" collapsed="false">
      <c r="A8" s="6" t="s">
        <v>79</v>
      </c>
      <c r="B8" s="6" t="s">
        <v>80</v>
      </c>
      <c r="C8" s="6" t="s">
        <v>81</v>
      </c>
      <c r="D8" s="6" t="s">
        <v>75</v>
      </c>
      <c r="E8" s="6" t="s">
        <v>58</v>
      </c>
      <c r="F8" s="10"/>
      <c r="G8" s="11" t="n">
        <f aca="false">IF(F8&lt;&gt;"",F8,INDEX(Partner_Rules!$B$5:$B$9,MATCH(E8,Partner_Rules!$A$5:$A$9,0)))</f>
        <v>0.5</v>
      </c>
      <c r="H8" s="11" t="n">
        <f aca="false">INDEX(Partner_Rules!$D$5:$D$9,MATCH(E8,Partner_Rules!$A$5:$A$9,0))</f>
        <v>0</v>
      </c>
    </row>
    <row r="9" customFormat="false" ht="15" hidden="false" customHeight="false" outlineLevel="0" collapsed="false">
      <c r="A9" s="6" t="s">
        <v>82</v>
      </c>
      <c r="B9" s="6" t="s">
        <v>83</v>
      </c>
      <c r="C9" s="6" t="s">
        <v>70</v>
      </c>
      <c r="D9" s="6" t="s">
        <v>71</v>
      </c>
      <c r="E9" s="6" t="s">
        <v>52</v>
      </c>
      <c r="F9" s="10"/>
      <c r="G9" s="11" t="n">
        <f aca="false">IF(F9&lt;&gt;"",F9,INDEX(Partner_Rules!$B$5:$B$9,MATCH(E9,Partner_Rules!$A$5:$A$9,0)))</f>
        <v>0.4</v>
      </c>
      <c r="H9" s="11" t="n">
        <f aca="false">INDEX(Partner_Rules!$D$5:$D$9,MATCH(E9,Partner_Rules!$A$5:$A$9,0))</f>
        <v>0</v>
      </c>
    </row>
    <row r="10" customFormat="false" ht="15" hidden="false" customHeight="false" outlineLevel="0" collapsed="false">
      <c r="A10" s="6" t="s">
        <v>84</v>
      </c>
      <c r="B10" s="6" t="s">
        <v>85</v>
      </c>
      <c r="C10" s="6" t="s">
        <v>74</v>
      </c>
      <c r="D10" s="6" t="s">
        <v>75</v>
      </c>
      <c r="E10" s="6" t="s">
        <v>52</v>
      </c>
      <c r="F10" s="10"/>
      <c r="G10" s="11" t="n">
        <f aca="false">IF(F10&lt;&gt;"",F10,INDEX(Partner_Rules!$B$5:$B$9,MATCH(E10,Partner_Rules!$A$5:$A$9,0)))</f>
        <v>0.4</v>
      </c>
      <c r="H10" s="11" t="n">
        <f aca="false">INDEX(Partner_Rules!$D$5:$D$9,MATCH(E10,Partner_Rules!$A$5:$A$9,0))</f>
        <v>0</v>
      </c>
    </row>
    <row r="11" customFormat="false" ht="15" hidden="false" customHeight="false" outlineLevel="0" collapsed="false">
      <c r="A11" s="6" t="s">
        <v>86</v>
      </c>
      <c r="B11" s="6" t="s">
        <v>87</v>
      </c>
      <c r="C11" s="6" t="s">
        <v>78</v>
      </c>
      <c r="D11" s="6" t="s">
        <v>71</v>
      </c>
      <c r="E11" s="6" t="s">
        <v>54</v>
      </c>
      <c r="F11" s="10" t="n">
        <v>0.45</v>
      </c>
      <c r="G11" s="11" t="n">
        <f aca="false">IF(F11&lt;&gt;"",F11,INDEX(Partner_Rules!$B$5:$B$9,MATCH(E11,Partner_Rules!$A$5:$A$9,0)))</f>
        <v>0.45</v>
      </c>
      <c r="H11" s="11" t="n">
        <f aca="false">INDEX(Partner_Rules!$D$5:$D$9,MATCH(E11,Partner_Rules!$A$5:$A$9,0))</f>
        <v>0.25</v>
      </c>
    </row>
    <row r="12" customFormat="false" ht="15" hidden="false" customHeight="false" outlineLevel="0" collapsed="false">
      <c r="A12" s="6" t="s">
        <v>88</v>
      </c>
      <c r="B12" s="6" t="s">
        <v>89</v>
      </c>
      <c r="C12" s="6" t="s">
        <v>81</v>
      </c>
      <c r="D12" s="6" t="s">
        <v>75</v>
      </c>
      <c r="E12" s="6" t="s">
        <v>50</v>
      </c>
      <c r="F12" s="10"/>
      <c r="G12" s="11" t="n">
        <f aca="false">IF(F12&lt;&gt;"",F12,INDEX(Partner_Rules!$B$5:$B$9,MATCH(E12,Partner_Rules!$A$5:$A$9,0)))</f>
        <v>0</v>
      </c>
      <c r="H12" s="11" t="n">
        <f aca="false">INDEX(Partner_Rules!$D$5:$D$9,MATCH(E12,Partner_Rules!$A$5:$A$9,0))</f>
        <v>0</v>
      </c>
    </row>
    <row r="13" customFormat="false" ht="15" hidden="false" customHeight="false" outlineLevel="0" collapsed="false">
      <c r="A13" s="6" t="s">
        <v>90</v>
      </c>
      <c r="B13" s="6" t="s">
        <v>91</v>
      </c>
      <c r="C13" s="6" t="s">
        <v>70</v>
      </c>
      <c r="D13" s="6" t="s">
        <v>71</v>
      </c>
      <c r="E13" s="6" t="s">
        <v>58</v>
      </c>
      <c r="F13" s="10"/>
      <c r="G13" s="11" t="n">
        <f aca="false">IF(F13&lt;&gt;"",F13,INDEX(Partner_Rules!$B$5:$B$9,MATCH(E13,Partner_Rules!$A$5:$A$9,0)))</f>
        <v>0.5</v>
      </c>
      <c r="H13" s="11" t="n">
        <f aca="false">INDEX(Partner_Rules!$D$5:$D$9,MATCH(E13,Partner_Rules!$A$5:$A$9,0))</f>
        <v>0</v>
      </c>
    </row>
    <row r="14" customFormat="false" ht="15" hidden="false" customHeight="false" outlineLevel="0" collapsed="false">
      <c r="A14" s="6" t="s">
        <v>92</v>
      </c>
      <c r="B14" s="6" t="s">
        <v>93</v>
      </c>
      <c r="C14" s="6" t="s">
        <v>74</v>
      </c>
      <c r="D14" s="6" t="s">
        <v>75</v>
      </c>
      <c r="E14" s="6" t="s">
        <v>52</v>
      </c>
      <c r="F14" s="10"/>
      <c r="G14" s="11" t="n">
        <f aca="false">IF(F14&lt;&gt;"",F14,INDEX(Partner_Rules!$B$5:$B$9,MATCH(E14,Partner_Rules!$A$5:$A$9,0)))</f>
        <v>0.4</v>
      </c>
      <c r="H14" s="11" t="n">
        <f aca="false">INDEX(Partner_Rules!$D$5:$D$9,MATCH(E14,Partner_Rules!$A$5:$A$9,0))</f>
        <v>0</v>
      </c>
    </row>
    <row r="15" customFormat="false" ht="15" hidden="false" customHeight="false" outlineLevel="0" collapsed="false">
      <c r="A15" s="6" t="s">
        <v>94</v>
      </c>
      <c r="B15" s="6" t="s">
        <v>95</v>
      </c>
      <c r="C15" s="6" t="s">
        <v>78</v>
      </c>
      <c r="D15" s="6" t="s">
        <v>71</v>
      </c>
      <c r="E15" s="6" t="s">
        <v>52</v>
      </c>
      <c r="F15" s="10"/>
      <c r="G15" s="11" t="n">
        <f aca="false">IF(F15&lt;&gt;"",F15,INDEX(Partner_Rules!$B$5:$B$9,MATCH(E15,Partner_Rules!$A$5:$A$9,0)))</f>
        <v>0.4</v>
      </c>
      <c r="H15" s="11" t="n">
        <f aca="false">INDEX(Partner_Rules!$D$5:$D$9,MATCH(E15,Partner_Rules!$A$5:$A$9,0))</f>
        <v>0</v>
      </c>
    </row>
    <row r="16" customFormat="false" ht="15" hidden="false" customHeight="false" outlineLevel="0" collapsed="false">
      <c r="A16" s="6" t="s">
        <v>96</v>
      </c>
      <c r="B16" s="6" t="s">
        <v>97</v>
      </c>
      <c r="C16" s="6" t="s">
        <v>81</v>
      </c>
      <c r="D16" s="6" t="s">
        <v>75</v>
      </c>
      <c r="E16" s="6" t="s">
        <v>54</v>
      </c>
      <c r="F16" s="10"/>
      <c r="G16" s="11" t="n">
        <f aca="false">IF(F16&lt;&gt;"",F16,INDEX(Partner_Rules!$B$5:$B$9,MATCH(E16,Partner_Rules!$A$5:$A$9,0)))</f>
        <v>0.35</v>
      </c>
      <c r="H16" s="11" t="n">
        <f aca="false">INDEX(Partner_Rules!$D$5:$D$9,MATCH(E16,Partner_Rules!$A$5:$A$9,0))</f>
        <v>0.25</v>
      </c>
    </row>
    <row r="17" customFormat="false" ht="15" hidden="false" customHeight="false" outlineLevel="0" collapsed="false">
      <c r="A17" s="6" t="s">
        <v>98</v>
      </c>
      <c r="B17" s="6" t="s">
        <v>99</v>
      </c>
      <c r="C17" s="6" t="s">
        <v>70</v>
      </c>
      <c r="D17" s="6" t="s">
        <v>71</v>
      </c>
      <c r="E17" s="6" t="s">
        <v>50</v>
      </c>
      <c r="F17" s="10"/>
      <c r="G17" s="11" t="n">
        <f aca="false">IF(F17&lt;&gt;"",F17,INDEX(Partner_Rules!$B$5:$B$9,MATCH(E17,Partner_Rules!$A$5:$A$9,0)))</f>
        <v>0</v>
      </c>
      <c r="H17" s="11" t="n">
        <f aca="false">INDEX(Partner_Rules!$D$5:$D$9,MATCH(E17,Partner_Rules!$A$5:$A$9,0))</f>
        <v>0</v>
      </c>
    </row>
    <row r="18" customFormat="false" ht="15" hidden="false" customHeight="false" outlineLevel="0" collapsed="false">
      <c r="A18" s="6" t="s">
        <v>100</v>
      </c>
      <c r="B18" s="6" t="s">
        <v>101</v>
      </c>
      <c r="C18" s="6" t="s">
        <v>74</v>
      </c>
      <c r="D18" s="6" t="s">
        <v>75</v>
      </c>
      <c r="E18" s="6" t="s">
        <v>58</v>
      </c>
      <c r="F18" s="10" t="n">
        <v>0.3</v>
      </c>
      <c r="G18" s="11" t="n">
        <f aca="false">IF(F18&lt;&gt;"",F18,INDEX(Partner_Rules!$B$5:$B$9,MATCH(E18,Partner_Rules!$A$5:$A$9,0)))</f>
        <v>0.3</v>
      </c>
      <c r="H18" s="11" t="n">
        <f aca="false">INDEX(Partner_Rules!$D$5:$D$9,MATCH(E18,Partner_Rules!$A$5:$A$9,0))</f>
        <v>0</v>
      </c>
    </row>
    <row r="19" customFormat="false" ht="15" hidden="false" customHeight="false" outlineLevel="0" collapsed="false">
      <c r="A19" s="6" t="s">
        <v>102</v>
      </c>
      <c r="B19" s="6" t="s">
        <v>103</v>
      </c>
      <c r="C19" s="6" t="s">
        <v>78</v>
      </c>
      <c r="D19" s="6" t="s">
        <v>71</v>
      </c>
      <c r="E19" s="6" t="s">
        <v>52</v>
      </c>
      <c r="F19" s="10"/>
      <c r="G19" s="11" t="n">
        <f aca="false">IF(F19&lt;&gt;"",F19,INDEX(Partner_Rules!$B$5:$B$9,MATCH(E19,Partner_Rules!$A$5:$A$9,0)))</f>
        <v>0.4</v>
      </c>
      <c r="H19" s="11" t="n">
        <f aca="false">INDEX(Partner_Rules!$D$5:$D$9,MATCH(E19,Partner_Rules!$A$5:$A$9,0))</f>
        <v>0</v>
      </c>
    </row>
    <row r="20" customFormat="false" ht="15" hidden="false" customHeight="false" outlineLevel="0" collapsed="false">
      <c r="A20" s="6" t="s">
        <v>104</v>
      </c>
      <c r="B20" s="6" t="s">
        <v>105</v>
      </c>
      <c r="C20" s="6" t="s">
        <v>81</v>
      </c>
      <c r="D20" s="6" t="s">
        <v>75</v>
      </c>
      <c r="E20" s="6" t="s">
        <v>52</v>
      </c>
      <c r="F20" s="10"/>
      <c r="G20" s="11" t="n">
        <f aca="false">IF(F20&lt;&gt;"",F20,INDEX(Partner_Rules!$B$5:$B$9,MATCH(E20,Partner_Rules!$A$5:$A$9,0)))</f>
        <v>0.4</v>
      </c>
      <c r="H20" s="11" t="n">
        <f aca="false">INDEX(Partner_Rules!$D$5:$D$9,MATCH(E20,Partner_Rules!$A$5:$A$9,0))</f>
        <v>0</v>
      </c>
    </row>
    <row r="21" customFormat="false" ht="15" hidden="false" customHeight="false" outlineLevel="0" collapsed="false">
      <c r="A21" s="6" t="s">
        <v>106</v>
      </c>
      <c r="B21" s="6" t="s">
        <v>107</v>
      </c>
      <c r="C21" s="6" t="s">
        <v>70</v>
      </c>
      <c r="D21" s="6" t="s">
        <v>71</v>
      </c>
      <c r="E21" s="6" t="s">
        <v>54</v>
      </c>
      <c r="F21" s="10"/>
      <c r="G21" s="11" t="n">
        <f aca="false">IF(F21&lt;&gt;"",F21,INDEX(Partner_Rules!$B$5:$B$9,MATCH(E21,Partner_Rules!$A$5:$A$9,0)))</f>
        <v>0.35</v>
      </c>
      <c r="H21" s="11" t="n">
        <f aca="false">INDEX(Partner_Rules!$D$5:$D$9,MATCH(E21,Partner_Rules!$A$5:$A$9,0))</f>
        <v>0.25</v>
      </c>
    </row>
    <row r="22" customFormat="false" ht="15" hidden="false" customHeight="false" outlineLevel="0" collapsed="false">
      <c r="A22" s="6" t="s">
        <v>108</v>
      </c>
      <c r="B22" s="6" t="s">
        <v>109</v>
      </c>
      <c r="C22" s="6" t="s">
        <v>74</v>
      </c>
      <c r="D22" s="6" t="s">
        <v>75</v>
      </c>
      <c r="E22" s="6" t="s">
        <v>50</v>
      </c>
      <c r="F22" s="10"/>
      <c r="G22" s="11" t="n">
        <f aca="false">IF(F22&lt;&gt;"",F22,INDEX(Partner_Rules!$B$5:$B$9,MATCH(E22,Partner_Rules!$A$5:$A$9,0)))</f>
        <v>0</v>
      </c>
      <c r="H22" s="11" t="n">
        <f aca="false">INDEX(Partner_Rules!$D$5:$D$9,MATCH(E22,Partner_Rules!$A$5:$A$9,0))</f>
        <v>0</v>
      </c>
    </row>
    <row r="23" customFormat="false" ht="15" hidden="false" customHeight="false" outlineLevel="0" collapsed="false">
      <c r="A23" s="6" t="s">
        <v>110</v>
      </c>
      <c r="B23" s="6" t="s">
        <v>111</v>
      </c>
      <c r="C23" s="6" t="s">
        <v>78</v>
      </c>
      <c r="D23" s="6" t="s">
        <v>71</v>
      </c>
      <c r="E23" s="6" t="s">
        <v>58</v>
      </c>
      <c r="F23" s="10"/>
      <c r="G23" s="11" t="n">
        <f aca="false">IF(F23&lt;&gt;"",F23,INDEX(Partner_Rules!$B$5:$B$9,MATCH(E23,Partner_Rules!$A$5:$A$9,0)))</f>
        <v>0.5</v>
      </c>
      <c r="H23" s="11" t="n">
        <f aca="false">INDEX(Partner_Rules!$D$5:$D$9,MATCH(E23,Partner_Rules!$A$5:$A$9,0))</f>
        <v>0</v>
      </c>
    </row>
    <row r="24" customFormat="false" ht="15" hidden="false" customHeight="false" outlineLevel="0" collapsed="false">
      <c r="A24" s="6" t="s">
        <v>112</v>
      </c>
      <c r="B24" s="6" t="s">
        <v>113</v>
      </c>
      <c r="C24" s="6" t="s">
        <v>81</v>
      </c>
      <c r="D24" s="6" t="s">
        <v>75</v>
      </c>
      <c r="E24" s="6" t="s">
        <v>52</v>
      </c>
      <c r="F24" s="10"/>
      <c r="G24" s="11" t="n">
        <f aca="false">IF(F24&lt;&gt;"",F24,INDEX(Partner_Rules!$B$5:$B$9,MATCH(E24,Partner_Rules!$A$5:$A$9,0)))</f>
        <v>0.4</v>
      </c>
      <c r="H24" s="11" t="n">
        <f aca="false">INDEX(Partner_Rules!$D$5:$D$9,MATCH(E24,Partner_Rules!$A$5:$A$9,0))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10" min="9" style="0" width="15"/>
  </cols>
  <sheetData>
    <row r="1" customFormat="false" ht="17.3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30" hidden="false" customHeight="true" outlineLevel="0" collapsed="false">
      <c r="A4" s="9" t="s">
        <v>116</v>
      </c>
      <c r="B4" s="9" t="s">
        <v>61</v>
      </c>
      <c r="C4" s="9" t="s">
        <v>117</v>
      </c>
      <c r="D4" s="9" t="s">
        <v>118</v>
      </c>
      <c r="E4" s="9" t="s">
        <v>119</v>
      </c>
      <c r="F4" s="9" t="s">
        <v>120</v>
      </c>
      <c r="G4" s="9" t="s">
        <v>45</v>
      </c>
      <c r="H4" s="9" t="s">
        <v>66</v>
      </c>
      <c r="I4" s="9" t="s">
        <v>121</v>
      </c>
      <c r="J4" s="9" t="s">
        <v>122</v>
      </c>
    </row>
    <row r="5" customFormat="false" ht="15" hidden="false" customHeight="false" outlineLevel="0" collapsed="false">
      <c r="A5" s="6" t="s">
        <v>123</v>
      </c>
      <c r="B5" s="6" t="s">
        <v>68</v>
      </c>
      <c r="C5" s="6" t="s">
        <v>70</v>
      </c>
      <c r="D5" s="6" t="s">
        <v>124</v>
      </c>
      <c r="E5" s="12" t="n">
        <v>388061</v>
      </c>
      <c r="F5" s="13" t="n">
        <v>853.73</v>
      </c>
      <c r="G5" s="5" t="str">
        <f aca="false">INDEX(Merchant_Map!$E$5:$E$24,MATCH(B5,Merchant_Map!$A$5:$A$24,0))</f>
        <v>Partner Alpha</v>
      </c>
      <c r="H5" s="11" t="n">
        <f aca="false">INDEX(Merchant_Map!$G$5:$G$24,MATCH(B5,Merchant_Map!$A$5:$A$24,0))</f>
        <v>0.4</v>
      </c>
      <c r="I5" s="14" t="n">
        <f aca="false">F5*H5</f>
        <v>341.492</v>
      </c>
      <c r="J5" s="14" t="n">
        <f aca="false">F5-I5</f>
        <v>512.238</v>
      </c>
    </row>
    <row r="6" customFormat="false" ht="15" hidden="false" customHeight="false" outlineLevel="0" collapsed="false">
      <c r="A6" s="6" t="s">
        <v>125</v>
      </c>
      <c r="B6" s="6" t="s">
        <v>68</v>
      </c>
      <c r="C6" s="6" t="s">
        <v>70</v>
      </c>
      <c r="D6" s="6" t="s">
        <v>124</v>
      </c>
      <c r="E6" s="12" t="n">
        <v>392914</v>
      </c>
      <c r="F6" s="13" t="n">
        <v>864.41</v>
      </c>
      <c r="G6" s="5" t="str">
        <f aca="false">INDEX(Merchant_Map!$E$5:$E$24,MATCH(B6,Merchant_Map!$A$5:$A$24,0))</f>
        <v>Partner Alpha</v>
      </c>
      <c r="H6" s="11" t="n">
        <f aca="false">INDEX(Merchant_Map!$G$5:$G$24,MATCH(B6,Merchant_Map!$A$5:$A$24,0))</f>
        <v>0.4</v>
      </c>
      <c r="I6" s="14" t="n">
        <f aca="false">F6*H6</f>
        <v>345.764</v>
      </c>
      <c r="J6" s="14" t="n">
        <f aca="false">F6-I6</f>
        <v>518.646</v>
      </c>
    </row>
    <row r="7" customFormat="false" ht="15" hidden="false" customHeight="false" outlineLevel="0" collapsed="false">
      <c r="A7" s="6" t="s">
        <v>126</v>
      </c>
      <c r="B7" s="6" t="s">
        <v>68</v>
      </c>
      <c r="C7" s="6" t="s">
        <v>70</v>
      </c>
      <c r="D7" s="6" t="s">
        <v>124</v>
      </c>
      <c r="E7" s="12" t="n">
        <v>435275</v>
      </c>
      <c r="F7" s="13" t="n">
        <v>957.61</v>
      </c>
      <c r="G7" s="5" t="str">
        <f aca="false">INDEX(Merchant_Map!$E$5:$E$24,MATCH(B7,Merchant_Map!$A$5:$A$24,0))</f>
        <v>Partner Alpha</v>
      </c>
      <c r="H7" s="11" t="n">
        <f aca="false">INDEX(Merchant_Map!$G$5:$G$24,MATCH(B7,Merchant_Map!$A$5:$A$24,0))</f>
        <v>0.4</v>
      </c>
      <c r="I7" s="14" t="n">
        <f aca="false">F7*H7</f>
        <v>383.044</v>
      </c>
      <c r="J7" s="14" t="n">
        <f aca="false">F7-I7</f>
        <v>574.566</v>
      </c>
    </row>
    <row r="8" customFormat="false" ht="15" hidden="false" customHeight="false" outlineLevel="0" collapsed="false">
      <c r="A8" s="6" t="s">
        <v>127</v>
      </c>
      <c r="B8" s="6" t="s">
        <v>68</v>
      </c>
      <c r="C8" s="6" t="s">
        <v>70</v>
      </c>
      <c r="D8" s="6" t="s">
        <v>124</v>
      </c>
      <c r="E8" s="12" t="n">
        <v>428128</v>
      </c>
      <c r="F8" s="13" t="n">
        <v>941.88</v>
      </c>
      <c r="G8" s="5" t="str">
        <f aca="false">INDEX(Merchant_Map!$E$5:$E$24,MATCH(B8,Merchant_Map!$A$5:$A$24,0))</f>
        <v>Partner Alpha</v>
      </c>
      <c r="H8" s="11" t="n">
        <f aca="false">INDEX(Merchant_Map!$G$5:$G$24,MATCH(B8,Merchant_Map!$A$5:$A$24,0))</f>
        <v>0.4</v>
      </c>
      <c r="I8" s="14" t="n">
        <f aca="false">F8*H8</f>
        <v>376.752</v>
      </c>
      <c r="J8" s="14" t="n">
        <f aca="false">F8-I8</f>
        <v>565.128</v>
      </c>
    </row>
    <row r="9" customFormat="false" ht="15" hidden="false" customHeight="false" outlineLevel="0" collapsed="false">
      <c r="A9" s="6" t="s">
        <v>128</v>
      </c>
      <c r="B9" s="6" t="s">
        <v>68</v>
      </c>
      <c r="C9" s="6" t="s">
        <v>70</v>
      </c>
      <c r="D9" s="6" t="s">
        <v>124</v>
      </c>
      <c r="E9" s="12" t="n">
        <v>443711</v>
      </c>
      <c r="F9" s="13" t="n">
        <v>976.16</v>
      </c>
      <c r="G9" s="5" t="str">
        <f aca="false">INDEX(Merchant_Map!$E$5:$E$24,MATCH(B9,Merchant_Map!$A$5:$A$24,0))</f>
        <v>Partner Alpha</v>
      </c>
      <c r="H9" s="11" t="n">
        <f aca="false">INDEX(Merchant_Map!$G$5:$G$24,MATCH(B9,Merchant_Map!$A$5:$A$24,0))</f>
        <v>0.4</v>
      </c>
      <c r="I9" s="14" t="n">
        <f aca="false">F9*H9</f>
        <v>390.464</v>
      </c>
      <c r="J9" s="14" t="n">
        <f aca="false">F9-I9</f>
        <v>585.696</v>
      </c>
    </row>
    <row r="10" customFormat="false" ht="15" hidden="false" customHeight="false" outlineLevel="0" collapsed="false">
      <c r="A10" s="6" t="s">
        <v>129</v>
      </c>
      <c r="B10" s="6" t="s">
        <v>68</v>
      </c>
      <c r="C10" s="6" t="s">
        <v>70</v>
      </c>
      <c r="D10" s="6" t="s">
        <v>124</v>
      </c>
      <c r="E10" s="12" t="n">
        <v>445014</v>
      </c>
      <c r="F10" s="13" t="n">
        <v>979.03</v>
      </c>
      <c r="G10" s="5" t="str">
        <f aca="false">INDEX(Merchant_Map!$E$5:$E$24,MATCH(B10,Merchant_Map!$A$5:$A$24,0))</f>
        <v>Partner Alpha</v>
      </c>
      <c r="H10" s="11" t="n">
        <f aca="false">INDEX(Merchant_Map!$G$5:$G$24,MATCH(B10,Merchant_Map!$A$5:$A$24,0))</f>
        <v>0.4</v>
      </c>
      <c r="I10" s="14" t="n">
        <f aca="false">F10*H10</f>
        <v>391.612</v>
      </c>
      <c r="J10" s="14" t="n">
        <f aca="false">F10-I10</f>
        <v>587.418</v>
      </c>
    </row>
    <row r="11" customFormat="false" ht="15" hidden="false" customHeight="false" outlineLevel="0" collapsed="false">
      <c r="A11" s="6" t="s">
        <v>130</v>
      </c>
      <c r="B11" s="6" t="s">
        <v>68</v>
      </c>
      <c r="C11" s="6" t="s">
        <v>70</v>
      </c>
      <c r="D11" s="6" t="s">
        <v>124</v>
      </c>
      <c r="E11" s="12" t="n">
        <v>440177</v>
      </c>
      <c r="F11" s="13" t="n">
        <v>968.39</v>
      </c>
      <c r="G11" s="5" t="str">
        <f aca="false">INDEX(Merchant_Map!$E$5:$E$24,MATCH(B11,Merchant_Map!$A$5:$A$24,0))</f>
        <v>Partner Alpha</v>
      </c>
      <c r="H11" s="11" t="n">
        <f aca="false">INDEX(Merchant_Map!$G$5:$G$24,MATCH(B11,Merchant_Map!$A$5:$A$24,0))</f>
        <v>0.4</v>
      </c>
      <c r="I11" s="14" t="n">
        <f aca="false">F11*H11</f>
        <v>387.356</v>
      </c>
      <c r="J11" s="14" t="n">
        <f aca="false">F11-I11</f>
        <v>581.034</v>
      </c>
    </row>
    <row r="12" customFormat="false" ht="15" hidden="false" customHeight="false" outlineLevel="0" collapsed="false">
      <c r="A12" s="6" t="s">
        <v>131</v>
      </c>
      <c r="B12" s="6" t="s">
        <v>68</v>
      </c>
      <c r="C12" s="6" t="s">
        <v>70</v>
      </c>
      <c r="D12" s="6" t="s">
        <v>124</v>
      </c>
      <c r="E12" s="12" t="n">
        <v>468712</v>
      </c>
      <c r="F12" s="13" t="n">
        <v>1031.17</v>
      </c>
      <c r="G12" s="5" t="str">
        <f aca="false">INDEX(Merchant_Map!$E$5:$E$24,MATCH(B12,Merchant_Map!$A$5:$A$24,0))</f>
        <v>Partner Alpha</v>
      </c>
      <c r="H12" s="11" t="n">
        <f aca="false">INDEX(Merchant_Map!$G$5:$G$24,MATCH(B12,Merchant_Map!$A$5:$A$24,0))</f>
        <v>0.4</v>
      </c>
      <c r="I12" s="14" t="n">
        <f aca="false">F12*H12</f>
        <v>412.468</v>
      </c>
      <c r="J12" s="14" t="n">
        <f aca="false">F12-I12</f>
        <v>618.702</v>
      </c>
    </row>
    <row r="13" customFormat="false" ht="15" hidden="false" customHeight="false" outlineLevel="0" collapsed="false">
      <c r="A13" s="6" t="s">
        <v>132</v>
      </c>
      <c r="B13" s="6" t="s">
        <v>68</v>
      </c>
      <c r="C13" s="6" t="s">
        <v>70</v>
      </c>
      <c r="D13" s="6" t="s">
        <v>124</v>
      </c>
      <c r="E13" s="12" t="n">
        <v>442311</v>
      </c>
      <c r="F13" s="13" t="n">
        <v>973.08</v>
      </c>
      <c r="G13" s="5" t="str">
        <f aca="false">INDEX(Merchant_Map!$E$5:$E$24,MATCH(B13,Merchant_Map!$A$5:$A$24,0))</f>
        <v>Partner Alpha</v>
      </c>
      <c r="H13" s="11" t="n">
        <f aca="false">INDEX(Merchant_Map!$G$5:$G$24,MATCH(B13,Merchant_Map!$A$5:$A$24,0))</f>
        <v>0.4</v>
      </c>
      <c r="I13" s="14" t="n">
        <f aca="false">F13*H13</f>
        <v>389.232</v>
      </c>
      <c r="J13" s="14" t="n">
        <f aca="false">F13-I13</f>
        <v>583.848</v>
      </c>
    </row>
    <row r="14" customFormat="false" ht="15" hidden="false" customHeight="false" outlineLevel="0" collapsed="false">
      <c r="A14" s="6" t="s">
        <v>133</v>
      </c>
      <c r="B14" s="6" t="s">
        <v>68</v>
      </c>
      <c r="C14" s="6" t="s">
        <v>70</v>
      </c>
      <c r="D14" s="6" t="s">
        <v>124</v>
      </c>
      <c r="E14" s="12" t="n">
        <v>457076</v>
      </c>
      <c r="F14" s="13" t="n">
        <v>1005.57</v>
      </c>
      <c r="G14" s="5" t="str">
        <f aca="false">INDEX(Merchant_Map!$E$5:$E$24,MATCH(B14,Merchant_Map!$A$5:$A$24,0))</f>
        <v>Partner Alpha</v>
      </c>
      <c r="H14" s="11" t="n">
        <f aca="false">INDEX(Merchant_Map!$G$5:$G$24,MATCH(B14,Merchant_Map!$A$5:$A$24,0))</f>
        <v>0.4</v>
      </c>
      <c r="I14" s="14" t="n">
        <f aca="false">F14*H14</f>
        <v>402.228</v>
      </c>
      <c r="J14" s="14" t="n">
        <f aca="false">F14-I14</f>
        <v>603.342</v>
      </c>
    </row>
    <row r="15" customFormat="false" ht="15" hidden="false" customHeight="false" outlineLevel="0" collapsed="false">
      <c r="A15" s="6" t="s">
        <v>134</v>
      </c>
      <c r="B15" s="6" t="s">
        <v>68</v>
      </c>
      <c r="C15" s="6" t="s">
        <v>70</v>
      </c>
      <c r="D15" s="6" t="s">
        <v>124</v>
      </c>
      <c r="E15" s="12" t="n">
        <v>477861</v>
      </c>
      <c r="F15" s="13" t="n">
        <v>1051.29</v>
      </c>
      <c r="G15" s="5" t="str">
        <f aca="false">INDEX(Merchant_Map!$E$5:$E$24,MATCH(B15,Merchant_Map!$A$5:$A$24,0))</f>
        <v>Partner Alpha</v>
      </c>
      <c r="H15" s="11" t="n">
        <f aca="false">INDEX(Merchant_Map!$G$5:$G$24,MATCH(B15,Merchant_Map!$A$5:$A$24,0))</f>
        <v>0.4</v>
      </c>
      <c r="I15" s="14" t="n">
        <f aca="false">F15*H15</f>
        <v>420.516</v>
      </c>
      <c r="J15" s="14" t="n">
        <f aca="false">F15-I15</f>
        <v>630.774</v>
      </c>
    </row>
    <row r="16" customFormat="false" ht="15" hidden="false" customHeight="false" outlineLevel="0" collapsed="false">
      <c r="A16" s="6" t="s">
        <v>135</v>
      </c>
      <c r="B16" s="6" t="s">
        <v>68</v>
      </c>
      <c r="C16" s="6" t="s">
        <v>70</v>
      </c>
      <c r="D16" s="6" t="s">
        <v>124</v>
      </c>
      <c r="E16" s="12" t="n">
        <v>471823</v>
      </c>
      <c r="F16" s="13" t="n">
        <v>1038.01</v>
      </c>
      <c r="G16" s="5" t="str">
        <f aca="false">INDEX(Merchant_Map!$E$5:$E$24,MATCH(B16,Merchant_Map!$A$5:$A$24,0))</f>
        <v>Partner Alpha</v>
      </c>
      <c r="H16" s="11" t="n">
        <f aca="false">INDEX(Merchant_Map!$G$5:$G$24,MATCH(B16,Merchant_Map!$A$5:$A$24,0))</f>
        <v>0.4</v>
      </c>
      <c r="I16" s="14" t="n">
        <f aca="false">F16*H16</f>
        <v>415.204</v>
      </c>
      <c r="J16" s="14" t="n">
        <f aca="false">F16-I16</f>
        <v>622.806</v>
      </c>
    </row>
    <row r="17" customFormat="false" ht="15" hidden="false" customHeight="false" outlineLevel="0" collapsed="false">
      <c r="A17" s="6" t="s">
        <v>123</v>
      </c>
      <c r="B17" s="6" t="s">
        <v>72</v>
      </c>
      <c r="C17" s="6" t="s">
        <v>74</v>
      </c>
      <c r="D17" s="6" t="s">
        <v>124</v>
      </c>
      <c r="E17" s="12" t="n">
        <v>775250</v>
      </c>
      <c r="F17" s="13" t="n">
        <v>2170.7</v>
      </c>
      <c r="G17" s="5" t="str">
        <f aca="false">INDEX(Merchant_Map!$E$5:$E$24,MATCH(B17,Merchant_Map!$A$5:$A$24,0))</f>
        <v>Partner Beta</v>
      </c>
      <c r="H17" s="11" t="n">
        <f aca="false">INDEX(Merchant_Map!$G$5:$G$24,MATCH(B17,Merchant_Map!$A$5:$A$24,0))</f>
        <v>0.35</v>
      </c>
      <c r="I17" s="14" t="n">
        <f aca="false">F17*H17</f>
        <v>759.745</v>
      </c>
      <c r="J17" s="14" t="n">
        <f aca="false">F17-I17</f>
        <v>1410.955</v>
      </c>
    </row>
    <row r="18" customFormat="false" ht="15" hidden="false" customHeight="false" outlineLevel="0" collapsed="false">
      <c r="A18" s="6" t="s">
        <v>123</v>
      </c>
      <c r="B18" s="6" t="s">
        <v>72</v>
      </c>
      <c r="C18" s="6" t="s">
        <v>75</v>
      </c>
      <c r="D18" s="6" t="s">
        <v>136</v>
      </c>
      <c r="E18" s="12" t="n">
        <v>0</v>
      </c>
      <c r="F18" s="13" t="n">
        <v>481.05</v>
      </c>
      <c r="G18" s="5" t="str">
        <f aca="false">INDEX(Merchant_Map!$E$5:$E$24,MATCH(B18,Merchant_Map!$A$5:$A$24,0))</f>
        <v>Partner Beta</v>
      </c>
      <c r="H18" s="11" t="n">
        <f aca="false">INDEX(Merchant_Map!$G$5:$G$24,MATCH(B18,Merchant_Map!$A$5:$A$24,0))</f>
        <v>0.35</v>
      </c>
      <c r="I18" s="14" t="n">
        <f aca="false">F18*H18</f>
        <v>168.3675</v>
      </c>
      <c r="J18" s="14" t="n">
        <f aca="false">F18-I18</f>
        <v>312.6825</v>
      </c>
    </row>
    <row r="19" customFormat="false" ht="15" hidden="false" customHeight="false" outlineLevel="0" collapsed="false">
      <c r="A19" s="6" t="s">
        <v>125</v>
      </c>
      <c r="B19" s="6" t="s">
        <v>72</v>
      </c>
      <c r="C19" s="6" t="s">
        <v>74</v>
      </c>
      <c r="D19" s="6" t="s">
        <v>124</v>
      </c>
      <c r="E19" s="12" t="n">
        <v>758895</v>
      </c>
      <c r="F19" s="13" t="n">
        <v>2124.91</v>
      </c>
      <c r="G19" s="5" t="str">
        <f aca="false">INDEX(Merchant_Map!$E$5:$E$24,MATCH(B19,Merchant_Map!$A$5:$A$24,0))</f>
        <v>Partner Beta</v>
      </c>
      <c r="H19" s="11" t="n">
        <f aca="false">INDEX(Merchant_Map!$G$5:$G$24,MATCH(B19,Merchant_Map!$A$5:$A$24,0))</f>
        <v>0.35</v>
      </c>
      <c r="I19" s="14" t="n">
        <f aca="false">F19*H19</f>
        <v>743.7185</v>
      </c>
      <c r="J19" s="14" t="n">
        <f aca="false">F19-I19</f>
        <v>1381.1915</v>
      </c>
    </row>
    <row r="20" customFormat="false" ht="15" hidden="false" customHeight="false" outlineLevel="0" collapsed="false">
      <c r="A20" s="6" t="s">
        <v>125</v>
      </c>
      <c r="B20" s="6" t="s">
        <v>72</v>
      </c>
      <c r="C20" s="6" t="s">
        <v>75</v>
      </c>
      <c r="D20" s="6" t="s">
        <v>136</v>
      </c>
      <c r="E20" s="12" t="n">
        <v>0</v>
      </c>
      <c r="F20" s="13" t="n">
        <v>471.4</v>
      </c>
      <c r="G20" s="5" t="str">
        <f aca="false">INDEX(Merchant_Map!$E$5:$E$24,MATCH(B20,Merchant_Map!$A$5:$A$24,0))</f>
        <v>Partner Beta</v>
      </c>
      <c r="H20" s="11" t="n">
        <f aca="false">INDEX(Merchant_Map!$G$5:$G$24,MATCH(B20,Merchant_Map!$A$5:$A$24,0))</f>
        <v>0.35</v>
      </c>
      <c r="I20" s="14" t="n">
        <f aca="false">F20*H20</f>
        <v>164.99</v>
      </c>
      <c r="J20" s="14" t="n">
        <f aca="false">F20-I20</f>
        <v>306.41</v>
      </c>
    </row>
    <row r="21" customFormat="false" ht="15" hidden="false" customHeight="false" outlineLevel="0" collapsed="false">
      <c r="A21" s="6" t="s">
        <v>126</v>
      </c>
      <c r="B21" s="6" t="s">
        <v>72</v>
      </c>
      <c r="C21" s="6" t="s">
        <v>74</v>
      </c>
      <c r="D21" s="6" t="s">
        <v>124</v>
      </c>
      <c r="E21" s="12" t="n">
        <v>779619</v>
      </c>
      <c r="F21" s="13" t="n">
        <v>2182.93</v>
      </c>
      <c r="G21" s="5" t="str">
        <f aca="false">INDEX(Merchant_Map!$E$5:$E$24,MATCH(B21,Merchant_Map!$A$5:$A$24,0))</f>
        <v>Partner Beta</v>
      </c>
      <c r="H21" s="11" t="n">
        <f aca="false">INDEX(Merchant_Map!$G$5:$G$24,MATCH(B21,Merchant_Map!$A$5:$A$24,0))</f>
        <v>0.35</v>
      </c>
      <c r="I21" s="14" t="n">
        <f aca="false">F21*H21</f>
        <v>764.0255</v>
      </c>
      <c r="J21" s="14" t="n">
        <f aca="false">F21-I21</f>
        <v>1418.9045</v>
      </c>
    </row>
    <row r="22" customFormat="false" ht="15" hidden="false" customHeight="false" outlineLevel="0" collapsed="false">
      <c r="A22" s="6" t="s">
        <v>126</v>
      </c>
      <c r="B22" s="6" t="s">
        <v>72</v>
      </c>
      <c r="C22" s="6" t="s">
        <v>75</v>
      </c>
      <c r="D22" s="6" t="s">
        <v>136</v>
      </c>
      <c r="E22" s="12" t="n">
        <v>0</v>
      </c>
      <c r="F22" s="13" t="n">
        <v>483.6</v>
      </c>
      <c r="G22" s="5" t="str">
        <f aca="false">INDEX(Merchant_Map!$E$5:$E$24,MATCH(B22,Merchant_Map!$A$5:$A$24,0))</f>
        <v>Partner Beta</v>
      </c>
      <c r="H22" s="11" t="n">
        <f aca="false">INDEX(Merchant_Map!$G$5:$G$24,MATCH(B22,Merchant_Map!$A$5:$A$24,0))</f>
        <v>0.35</v>
      </c>
      <c r="I22" s="14" t="n">
        <f aca="false">F22*H22</f>
        <v>169.26</v>
      </c>
      <c r="J22" s="14" t="n">
        <f aca="false">F22-I22</f>
        <v>314.34</v>
      </c>
    </row>
    <row r="23" customFormat="false" ht="15" hidden="false" customHeight="false" outlineLevel="0" collapsed="false">
      <c r="A23" s="6" t="s">
        <v>127</v>
      </c>
      <c r="B23" s="6" t="s">
        <v>72</v>
      </c>
      <c r="C23" s="6" t="s">
        <v>74</v>
      </c>
      <c r="D23" s="6" t="s">
        <v>124</v>
      </c>
      <c r="E23" s="12" t="n">
        <v>728101</v>
      </c>
      <c r="F23" s="13" t="n">
        <v>2038.68</v>
      </c>
      <c r="G23" s="5" t="str">
        <f aca="false">INDEX(Merchant_Map!$E$5:$E$24,MATCH(B23,Merchant_Map!$A$5:$A$24,0))</f>
        <v>Partner Beta</v>
      </c>
      <c r="H23" s="11" t="n">
        <f aca="false">INDEX(Merchant_Map!$G$5:$G$24,MATCH(B23,Merchant_Map!$A$5:$A$24,0))</f>
        <v>0.35</v>
      </c>
      <c r="I23" s="14" t="n">
        <f aca="false">F23*H23</f>
        <v>713.538</v>
      </c>
      <c r="J23" s="14" t="n">
        <f aca="false">F23-I23</f>
        <v>1325.142</v>
      </c>
    </row>
    <row r="24" customFormat="false" ht="15" hidden="false" customHeight="false" outlineLevel="0" collapsed="false">
      <c r="A24" s="6" t="s">
        <v>127</v>
      </c>
      <c r="B24" s="6" t="s">
        <v>72</v>
      </c>
      <c r="C24" s="6" t="s">
        <v>75</v>
      </c>
      <c r="D24" s="6" t="s">
        <v>136</v>
      </c>
      <c r="E24" s="12" t="n">
        <v>0</v>
      </c>
      <c r="F24" s="13" t="n">
        <v>453.3</v>
      </c>
      <c r="G24" s="5" t="str">
        <f aca="false">INDEX(Merchant_Map!$E$5:$E$24,MATCH(B24,Merchant_Map!$A$5:$A$24,0))</f>
        <v>Partner Beta</v>
      </c>
      <c r="H24" s="11" t="n">
        <f aca="false">INDEX(Merchant_Map!$G$5:$G$24,MATCH(B24,Merchant_Map!$A$5:$A$24,0))</f>
        <v>0.35</v>
      </c>
      <c r="I24" s="14" t="n">
        <f aca="false">F24*H24</f>
        <v>158.655</v>
      </c>
      <c r="J24" s="14" t="n">
        <f aca="false">F24-I24</f>
        <v>294.645</v>
      </c>
    </row>
    <row r="25" customFormat="false" ht="15" hidden="false" customHeight="false" outlineLevel="0" collapsed="false">
      <c r="A25" s="6" t="s">
        <v>128</v>
      </c>
      <c r="B25" s="6" t="s">
        <v>72</v>
      </c>
      <c r="C25" s="6" t="s">
        <v>74</v>
      </c>
      <c r="D25" s="6" t="s">
        <v>124</v>
      </c>
      <c r="E25" s="12" t="n">
        <v>753865</v>
      </c>
      <c r="F25" s="13" t="n">
        <v>2110.82</v>
      </c>
      <c r="G25" s="5" t="str">
        <f aca="false">INDEX(Merchant_Map!$E$5:$E$24,MATCH(B25,Merchant_Map!$A$5:$A$24,0))</f>
        <v>Partner Beta</v>
      </c>
      <c r="H25" s="11" t="n">
        <f aca="false">INDEX(Merchant_Map!$G$5:$G$24,MATCH(B25,Merchant_Map!$A$5:$A$24,0))</f>
        <v>0.35</v>
      </c>
      <c r="I25" s="14" t="n">
        <f aca="false">F25*H25</f>
        <v>738.787</v>
      </c>
      <c r="J25" s="14" t="n">
        <f aca="false">F25-I25</f>
        <v>1372.033</v>
      </c>
    </row>
    <row r="26" customFormat="false" ht="15" hidden="false" customHeight="false" outlineLevel="0" collapsed="false">
      <c r="A26" s="6" t="s">
        <v>128</v>
      </c>
      <c r="B26" s="6" t="s">
        <v>72</v>
      </c>
      <c r="C26" s="6" t="s">
        <v>75</v>
      </c>
      <c r="D26" s="6" t="s">
        <v>136</v>
      </c>
      <c r="E26" s="12" t="n">
        <v>0</v>
      </c>
      <c r="F26" s="13" t="n">
        <v>468.45</v>
      </c>
      <c r="G26" s="5" t="str">
        <f aca="false">INDEX(Merchant_Map!$E$5:$E$24,MATCH(B26,Merchant_Map!$A$5:$A$24,0))</f>
        <v>Partner Beta</v>
      </c>
      <c r="H26" s="11" t="n">
        <f aca="false">INDEX(Merchant_Map!$G$5:$G$24,MATCH(B26,Merchant_Map!$A$5:$A$24,0))</f>
        <v>0.35</v>
      </c>
      <c r="I26" s="14" t="n">
        <f aca="false">F26*H26</f>
        <v>163.9575</v>
      </c>
      <c r="J26" s="14" t="n">
        <f aca="false">F26-I26</f>
        <v>304.4925</v>
      </c>
    </row>
    <row r="27" customFormat="false" ht="15" hidden="false" customHeight="false" outlineLevel="0" collapsed="false">
      <c r="A27" s="6" t="s">
        <v>129</v>
      </c>
      <c r="B27" s="6" t="s">
        <v>72</v>
      </c>
      <c r="C27" s="6" t="s">
        <v>74</v>
      </c>
      <c r="D27" s="6" t="s">
        <v>124</v>
      </c>
      <c r="E27" s="12" t="n">
        <v>768731</v>
      </c>
      <c r="F27" s="13" t="n">
        <v>2152.45</v>
      </c>
      <c r="G27" s="5" t="str">
        <f aca="false">INDEX(Merchant_Map!$E$5:$E$24,MATCH(B27,Merchant_Map!$A$5:$A$24,0))</f>
        <v>Partner Beta</v>
      </c>
      <c r="H27" s="11" t="n">
        <f aca="false">INDEX(Merchant_Map!$G$5:$G$24,MATCH(B27,Merchant_Map!$A$5:$A$24,0))</f>
        <v>0.35</v>
      </c>
      <c r="I27" s="14" t="n">
        <f aca="false">F27*H27</f>
        <v>753.3575</v>
      </c>
      <c r="J27" s="14" t="n">
        <f aca="false">F27-I27</f>
        <v>1399.0925</v>
      </c>
    </row>
    <row r="28" customFormat="false" ht="15" hidden="false" customHeight="false" outlineLevel="0" collapsed="false">
      <c r="A28" s="6" t="s">
        <v>129</v>
      </c>
      <c r="B28" s="6" t="s">
        <v>72</v>
      </c>
      <c r="C28" s="6" t="s">
        <v>75</v>
      </c>
      <c r="D28" s="6" t="s">
        <v>136</v>
      </c>
      <c r="E28" s="12" t="n">
        <v>0</v>
      </c>
      <c r="F28" s="13" t="n">
        <v>477.2</v>
      </c>
      <c r="G28" s="5" t="str">
        <f aca="false">INDEX(Merchant_Map!$E$5:$E$24,MATCH(B28,Merchant_Map!$A$5:$A$24,0))</f>
        <v>Partner Beta</v>
      </c>
      <c r="H28" s="11" t="n">
        <f aca="false">INDEX(Merchant_Map!$G$5:$G$24,MATCH(B28,Merchant_Map!$A$5:$A$24,0))</f>
        <v>0.35</v>
      </c>
      <c r="I28" s="14" t="n">
        <f aca="false">F28*H28</f>
        <v>167.02</v>
      </c>
      <c r="J28" s="14" t="n">
        <f aca="false">F28-I28</f>
        <v>310.18</v>
      </c>
    </row>
    <row r="29" customFormat="false" ht="15" hidden="false" customHeight="false" outlineLevel="0" collapsed="false">
      <c r="A29" s="6" t="s">
        <v>130</v>
      </c>
      <c r="B29" s="6" t="s">
        <v>72</v>
      </c>
      <c r="C29" s="6" t="s">
        <v>74</v>
      </c>
      <c r="D29" s="6" t="s">
        <v>124</v>
      </c>
      <c r="E29" s="12" t="n">
        <v>757881</v>
      </c>
      <c r="F29" s="13" t="n">
        <v>2122.07</v>
      </c>
      <c r="G29" s="5" t="str">
        <f aca="false">INDEX(Merchant_Map!$E$5:$E$24,MATCH(B29,Merchant_Map!$A$5:$A$24,0))</f>
        <v>Partner Beta</v>
      </c>
      <c r="H29" s="11" t="n">
        <f aca="false">INDEX(Merchant_Map!$G$5:$G$24,MATCH(B29,Merchant_Map!$A$5:$A$24,0))</f>
        <v>0.35</v>
      </c>
      <c r="I29" s="14" t="n">
        <f aca="false">F29*H29</f>
        <v>742.7245</v>
      </c>
      <c r="J29" s="14" t="n">
        <f aca="false">F29-I29</f>
        <v>1379.3455</v>
      </c>
    </row>
    <row r="30" customFormat="false" ht="15" hidden="false" customHeight="false" outlineLevel="0" collapsed="false">
      <c r="A30" s="6" t="s">
        <v>130</v>
      </c>
      <c r="B30" s="6" t="s">
        <v>72</v>
      </c>
      <c r="C30" s="6" t="s">
        <v>75</v>
      </c>
      <c r="D30" s="6" t="s">
        <v>136</v>
      </c>
      <c r="E30" s="12" t="n">
        <v>0</v>
      </c>
      <c r="F30" s="13" t="n">
        <v>470.8</v>
      </c>
      <c r="G30" s="5" t="str">
        <f aca="false">INDEX(Merchant_Map!$E$5:$E$24,MATCH(B30,Merchant_Map!$A$5:$A$24,0))</f>
        <v>Partner Beta</v>
      </c>
      <c r="H30" s="11" t="n">
        <f aca="false">INDEX(Merchant_Map!$G$5:$G$24,MATCH(B30,Merchant_Map!$A$5:$A$24,0))</f>
        <v>0.35</v>
      </c>
      <c r="I30" s="14" t="n">
        <f aca="false">F30*H30</f>
        <v>164.78</v>
      </c>
      <c r="J30" s="14" t="n">
        <f aca="false">F30-I30</f>
        <v>306.02</v>
      </c>
    </row>
    <row r="31" customFormat="false" ht="15" hidden="false" customHeight="false" outlineLevel="0" collapsed="false">
      <c r="A31" s="6" t="s">
        <v>131</v>
      </c>
      <c r="B31" s="6" t="s">
        <v>72</v>
      </c>
      <c r="C31" s="6" t="s">
        <v>74</v>
      </c>
      <c r="D31" s="6" t="s">
        <v>124</v>
      </c>
      <c r="E31" s="12" t="n">
        <v>781805</v>
      </c>
      <c r="F31" s="13" t="n">
        <v>2189.05</v>
      </c>
      <c r="G31" s="5" t="str">
        <f aca="false">INDEX(Merchant_Map!$E$5:$E$24,MATCH(B31,Merchant_Map!$A$5:$A$24,0))</f>
        <v>Partner Beta</v>
      </c>
      <c r="H31" s="11" t="n">
        <f aca="false">INDEX(Merchant_Map!$G$5:$G$24,MATCH(B31,Merchant_Map!$A$5:$A$24,0))</f>
        <v>0.35</v>
      </c>
      <c r="I31" s="14" t="n">
        <f aca="false">F31*H31</f>
        <v>766.1675</v>
      </c>
      <c r="J31" s="14" t="n">
        <f aca="false">F31-I31</f>
        <v>1422.8825</v>
      </c>
    </row>
    <row r="32" customFormat="false" ht="15" hidden="false" customHeight="false" outlineLevel="0" collapsed="false">
      <c r="A32" s="6" t="s">
        <v>131</v>
      </c>
      <c r="B32" s="6" t="s">
        <v>72</v>
      </c>
      <c r="C32" s="6" t="s">
        <v>75</v>
      </c>
      <c r="D32" s="6" t="s">
        <v>136</v>
      </c>
      <c r="E32" s="12" t="n">
        <v>0</v>
      </c>
      <c r="F32" s="13" t="n">
        <v>484.9</v>
      </c>
      <c r="G32" s="5" t="str">
        <f aca="false">INDEX(Merchant_Map!$E$5:$E$24,MATCH(B32,Merchant_Map!$A$5:$A$24,0))</f>
        <v>Partner Beta</v>
      </c>
      <c r="H32" s="11" t="n">
        <f aca="false">INDEX(Merchant_Map!$G$5:$G$24,MATCH(B32,Merchant_Map!$A$5:$A$24,0))</f>
        <v>0.35</v>
      </c>
      <c r="I32" s="14" t="n">
        <f aca="false">F32*H32</f>
        <v>169.715</v>
      </c>
      <c r="J32" s="14" t="n">
        <f aca="false">F32-I32</f>
        <v>315.185</v>
      </c>
    </row>
    <row r="33" customFormat="false" ht="15" hidden="false" customHeight="false" outlineLevel="0" collapsed="false">
      <c r="A33" s="6" t="s">
        <v>132</v>
      </c>
      <c r="B33" s="6" t="s">
        <v>72</v>
      </c>
      <c r="C33" s="6" t="s">
        <v>74</v>
      </c>
      <c r="D33" s="6" t="s">
        <v>124</v>
      </c>
      <c r="E33" s="12" t="n">
        <v>778260</v>
      </c>
      <c r="F33" s="13" t="n">
        <v>2179.13</v>
      </c>
      <c r="G33" s="5" t="str">
        <f aca="false">INDEX(Merchant_Map!$E$5:$E$24,MATCH(B33,Merchant_Map!$A$5:$A$24,0))</f>
        <v>Partner Beta</v>
      </c>
      <c r="H33" s="11" t="n">
        <f aca="false">INDEX(Merchant_Map!$G$5:$G$24,MATCH(B33,Merchant_Map!$A$5:$A$24,0))</f>
        <v>0.35</v>
      </c>
      <c r="I33" s="14" t="n">
        <f aca="false">F33*H33</f>
        <v>762.6955</v>
      </c>
      <c r="J33" s="14" t="n">
        <f aca="false">F33-I33</f>
        <v>1416.4345</v>
      </c>
    </row>
    <row r="34" customFormat="false" ht="15" hidden="false" customHeight="false" outlineLevel="0" collapsed="false">
      <c r="A34" s="6" t="s">
        <v>132</v>
      </c>
      <c r="B34" s="6" t="s">
        <v>72</v>
      </c>
      <c r="C34" s="6" t="s">
        <v>75</v>
      </c>
      <c r="D34" s="6" t="s">
        <v>136</v>
      </c>
      <c r="E34" s="12" t="n">
        <v>0</v>
      </c>
      <c r="F34" s="13" t="n">
        <v>482.8</v>
      </c>
      <c r="G34" s="5" t="str">
        <f aca="false">INDEX(Merchant_Map!$E$5:$E$24,MATCH(B34,Merchant_Map!$A$5:$A$24,0))</f>
        <v>Partner Beta</v>
      </c>
      <c r="H34" s="11" t="n">
        <f aca="false">INDEX(Merchant_Map!$G$5:$G$24,MATCH(B34,Merchant_Map!$A$5:$A$24,0))</f>
        <v>0.35</v>
      </c>
      <c r="I34" s="14" t="n">
        <f aca="false">F34*H34</f>
        <v>168.98</v>
      </c>
      <c r="J34" s="14" t="n">
        <f aca="false">F34-I34</f>
        <v>313.82</v>
      </c>
    </row>
    <row r="35" customFormat="false" ht="15" hidden="false" customHeight="false" outlineLevel="0" collapsed="false">
      <c r="A35" s="6" t="s">
        <v>133</v>
      </c>
      <c r="B35" s="6" t="s">
        <v>72</v>
      </c>
      <c r="C35" s="6" t="s">
        <v>74</v>
      </c>
      <c r="D35" s="6" t="s">
        <v>124</v>
      </c>
      <c r="E35" s="12" t="n">
        <v>805166</v>
      </c>
      <c r="F35" s="13" t="n">
        <v>2254.46</v>
      </c>
      <c r="G35" s="5" t="str">
        <f aca="false">INDEX(Merchant_Map!$E$5:$E$24,MATCH(B35,Merchant_Map!$A$5:$A$24,0))</f>
        <v>Partner Beta</v>
      </c>
      <c r="H35" s="11" t="n">
        <f aca="false">INDEX(Merchant_Map!$G$5:$G$24,MATCH(B35,Merchant_Map!$A$5:$A$24,0))</f>
        <v>0.35</v>
      </c>
      <c r="I35" s="14" t="n">
        <f aca="false">F35*H35</f>
        <v>789.061</v>
      </c>
      <c r="J35" s="14" t="n">
        <f aca="false">F35-I35</f>
        <v>1465.399</v>
      </c>
    </row>
    <row r="36" customFormat="false" ht="15" hidden="false" customHeight="false" outlineLevel="0" collapsed="false">
      <c r="A36" s="6" t="s">
        <v>133</v>
      </c>
      <c r="B36" s="6" t="s">
        <v>72</v>
      </c>
      <c r="C36" s="6" t="s">
        <v>75</v>
      </c>
      <c r="D36" s="6" t="s">
        <v>136</v>
      </c>
      <c r="E36" s="12" t="n">
        <v>0</v>
      </c>
      <c r="F36" s="13" t="n">
        <v>498.65</v>
      </c>
      <c r="G36" s="5" t="str">
        <f aca="false">INDEX(Merchant_Map!$E$5:$E$24,MATCH(B36,Merchant_Map!$A$5:$A$24,0))</f>
        <v>Partner Beta</v>
      </c>
      <c r="H36" s="11" t="n">
        <f aca="false">INDEX(Merchant_Map!$G$5:$G$24,MATCH(B36,Merchant_Map!$A$5:$A$24,0))</f>
        <v>0.35</v>
      </c>
      <c r="I36" s="14" t="n">
        <f aca="false">F36*H36</f>
        <v>174.5275</v>
      </c>
      <c r="J36" s="14" t="n">
        <f aca="false">F36-I36</f>
        <v>324.1225</v>
      </c>
    </row>
    <row r="37" customFormat="false" ht="15" hidden="false" customHeight="false" outlineLevel="0" collapsed="false">
      <c r="A37" s="6" t="s">
        <v>134</v>
      </c>
      <c r="B37" s="6" t="s">
        <v>72</v>
      </c>
      <c r="C37" s="6" t="s">
        <v>74</v>
      </c>
      <c r="D37" s="6" t="s">
        <v>124</v>
      </c>
      <c r="E37" s="12" t="n">
        <v>850762</v>
      </c>
      <c r="F37" s="13" t="n">
        <v>2382.13</v>
      </c>
      <c r="G37" s="5" t="str">
        <f aca="false">INDEX(Merchant_Map!$E$5:$E$24,MATCH(B37,Merchant_Map!$A$5:$A$24,0))</f>
        <v>Partner Beta</v>
      </c>
      <c r="H37" s="11" t="n">
        <f aca="false">INDEX(Merchant_Map!$G$5:$G$24,MATCH(B37,Merchant_Map!$A$5:$A$24,0))</f>
        <v>0.35</v>
      </c>
      <c r="I37" s="14" t="n">
        <f aca="false">F37*H37</f>
        <v>833.7455</v>
      </c>
      <c r="J37" s="14" t="n">
        <f aca="false">F37-I37</f>
        <v>1548.3845</v>
      </c>
    </row>
    <row r="38" customFormat="false" ht="15" hidden="false" customHeight="false" outlineLevel="0" collapsed="false">
      <c r="A38" s="6" t="s">
        <v>134</v>
      </c>
      <c r="B38" s="6" t="s">
        <v>72</v>
      </c>
      <c r="C38" s="6" t="s">
        <v>75</v>
      </c>
      <c r="D38" s="6" t="s">
        <v>136</v>
      </c>
      <c r="E38" s="12" t="n">
        <v>0</v>
      </c>
      <c r="F38" s="13" t="n">
        <v>525.45</v>
      </c>
      <c r="G38" s="5" t="str">
        <f aca="false">INDEX(Merchant_Map!$E$5:$E$24,MATCH(B38,Merchant_Map!$A$5:$A$24,0))</f>
        <v>Partner Beta</v>
      </c>
      <c r="H38" s="11" t="n">
        <f aca="false">INDEX(Merchant_Map!$G$5:$G$24,MATCH(B38,Merchant_Map!$A$5:$A$24,0))</f>
        <v>0.35</v>
      </c>
      <c r="I38" s="14" t="n">
        <f aca="false">F38*H38</f>
        <v>183.9075</v>
      </c>
      <c r="J38" s="14" t="n">
        <f aca="false">F38-I38</f>
        <v>341.5425</v>
      </c>
    </row>
    <row r="39" customFormat="false" ht="15" hidden="false" customHeight="false" outlineLevel="0" collapsed="false">
      <c r="A39" s="6" t="s">
        <v>135</v>
      </c>
      <c r="B39" s="6" t="s">
        <v>72</v>
      </c>
      <c r="C39" s="6" t="s">
        <v>74</v>
      </c>
      <c r="D39" s="6" t="s">
        <v>124</v>
      </c>
      <c r="E39" s="12" t="n">
        <v>833436</v>
      </c>
      <c r="F39" s="13" t="n">
        <v>2333.62</v>
      </c>
      <c r="G39" s="5" t="str">
        <f aca="false">INDEX(Merchant_Map!$E$5:$E$24,MATCH(B39,Merchant_Map!$A$5:$A$24,0))</f>
        <v>Partner Beta</v>
      </c>
      <c r="H39" s="11" t="n">
        <f aca="false">INDEX(Merchant_Map!$G$5:$G$24,MATCH(B39,Merchant_Map!$A$5:$A$24,0))</f>
        <v>0.35</v>
      </c>
      <c r="I39" s="14" t="n">
        <f aca="false">F39*H39</f>
        <v>816.767</v>
      </c>
      <c r="J39" s="14" t="n">
        <f aca="false">F39-I39</f>
        <v>1516.853</v>
      </c>
    </row>
    <row r="40" customFormat="false" ht="15" hidden="false" customHeight="false" outlineLevel="0" collapsed="false">
      <c r="A40" s="6" t="s">
        <v>135</v>
      </c>
      <c r="B40" s="6" t="s">
        <v>72</v>
      </c>
      <c r="C40" s="6" t="s">
        <v>75</v>
      </c>
      <c r="D40" s="6" t="s">
        <v>136</v>
      </c>
      <c r="E40" s="12" t="n">
        <v>0</v>
      </c>
      <c r="F40" s="13" t="n">
        <v>515.25</v>
      </c>
      <c r="G40" s="5" t="str">
        <f aca="false">INDEX(Merchant_Map!$E$5:$E$24,MATCH(B40,Merchant_Map!$A$5:$A$24,0))</f>
        <v>Partner Beta</v>
      </c>
      <c r="H40" s="11" t="n">
        <f aca="false">INDEX(Merchant_Map!$G$5:$G$24,MATCH(B40,Merchant_Map!$A$5:$A$24,0))</f>
        <v>0.35</v>
      </c>
      <c r="I40" s="14" t="n">
        <f aca="false">F40*H40</f>
        <v>180.3375</v>
      </c>
      <c r="J40" s="14" t="n">
        <f aca="false">F40-I40</f>
        <v>334.9125</v>
      </c>
    </row>
    <row r="41" customFormat="false" ht="15" hidden="false" customHeight="false" outlineLevel="0" collapsed="false">
      <c r="A41" s="6" t="s">
        <v>123</v>
      </c>
      <c r="B41" s="6" t="s">
        <v>76</v>
      </c>
      <c r="C41" s="6" t="s">
        <v>78</v>
      </c>
      <c r="D41" s="6" t="s">
        <v>124</v>
      </c>
      <c r="E41" s="12" t="n">
        <v>627077</v>
      </c>
      <c r="F41" s="13" t="n">
        <v>1755.82</v>
      </c>
      <c r="G41" s="5" t="str">
        <f aca="false">INDEX(Merchant_Map!$E$5:$E$24,MATCH(B41,Merchant_Map!$A$5:$A$24,0))</f>
        <v>House (Direct)</v>
      </c>
      <c r="H41" s="11" t="n">
        <f aca="false">INDEX(Merchant_Map!$G$5:$G$24,MATCH(B41,Merchant_Map!$A$5:$A$24,0))</f>
        <v>0</v>
      </c>
      <c r="I41" s="14" t="n">
        <f aca="false">F41*H41</f>
        <v>0</v>
      </c>
      <c r="J41" s="14" t="n">
        <f aca="false">F41-I41</f>
        <v>1755.82</v>
      </c>
    </row>
    <row r="42" customFormat="false" ht="15" hidden="false" customHeight="false" outlineLevel="0" collapsed="false">
      <c r="A42" s="6" t="s">
        <v>125</v>
      </c>
      <c r="B42" s="6" t="s">
        <v>76</v>
      </c>
      <c r="C42" s="6" t="s">
        <v>78</v>
      </c>
      <c r="D42" s="6" t="s">
        <v>124</v>
      </c>
      <c r="E42" s="12" t="n">
        <v>622172</v>
      </c>
      <c r="F42" s="13" t="n">
        <v>1742.08</v>
      </c>
      <c r="G42" s="5" t="str">
        <f aca="false">INDEX(Merchant_Map!$E$5:$E$24,MATCH(B42,Merchant_Map!$A$5:$A$24,0))</f>
        <v>House (Direct)</v>
      </c>
      <c r="H42" s="11" t="n">
        <f aca="false">INDEX(Merchant_Map!$G$5:$G$24,MATCH(B42,Merchant_Map!$A$5:$A$24,0))</f>
        <v>0</v>
      </c>
      <c r="I42" s="14" t="n">
        <f aca="false">F42*H42</f>
        <v>0</v>
      </c>
      <c r="J42" s="14" t="n">
        <f aca="false">F42-I42</f>
        <v>1742.08</v>
      </c>
    </row>
    <row r="43" customFormat="false" ht="15" hidden="false" customHeight="false" outlineLevel="0" collapsed="false">
      <c r="A43" s="6" t="s">
        <v>126</v>
      </c>
      <c r="B43" s="6" t="s">
        <v>76</v>
      </c>
      <c r="C43" s="6" t="s">
        <v>78</v>
      </c>
      <c r="D43" s="6" t="s">
        <v>124</v>
      </c>
      <c r="E43" s="12" t="n">
        <v>634137</v>
      </c>
      <c r="F43" s="13" t="n">
        <v>1775.58</v>
      </c>
      <c r="G43" s="5" t="str">
        <f aca="false">INDEX(Merchant_Map!$E$5:$E$24,MATCH(B43,Merchant_Map!$A$5:$A$24,0))</f>
        <v>House (Direct)</v>
      </c>
      <c r="H43" s="11" t="n">
        <f aca="false">INDEX(Merchant_Map!$G$5:$G$24,MATCH(B43,Merchant_Map!$A$5:$A$24,0))</f>
        <v>0</v>
      </c>
      <c r="I43" s="14" t="n">
        <f aca="false">F43*H43</f>
        <v>0</v>
      </c>
      <c r="J43" s="14" t="n">
        <f aca="false">F43-I43</f>
        <v>1775.58</v>
      </c>
    </row>
    <row r="44" customFormat="false" ht="15" hidden="false" customHeight="false" outlineLevel="0" collapsed="false">
      <c r="A44" s="6" t="s">
        <v>127</v>
      </c>
      <c r="B44" s="6" t="s">
        <v>76</v>
      </c>
      <c r="C44" s="6" t="s">
        <v>78</v>
      </c>
      <c r="D44" s="6" t="s">
        <v>124</v>
      </c>
      <c r="E44" s="12" t="n">
        <v>694802</v>
      </c>
      <c r="F44" s="13" t="n">
        <v>1945.45</v>
      </c>
      <c r="G44" s="5" t="str">
        <f aca="false">INDEX(Merchant_Map!$E$5:$E$24,MATCH(B44,Merchant_Map!$A$5:$A$24,0))</f>
        <v>House (Direct)</v>
      </c>
      <c r="H44" s="11" t="n">
        <f aca="false">INDEX(Merchant_Map!$G$5:$G$24,MATCH(B44,Merchant_Map!$A$5:$A$24,0))</f>
        <v>0</v>
      </c>
      <c r="I44" s="14" t="n">
        <f aca="false">F44*H44</f>
        <v>0</v>
      </c>
      <c r="J44" s="14" t="n">
        <f aca="false">F44-I44</f>
        <v>1945.45</v>
      </c>
    </row>
    <row r="45" customFormat="false" ht="15" hidden="false" customHeight="false" outlineLevel="0" collapsed="false">
      <c r="A45" s="6" t="s">
        <v>128</v>
      </c>
      <c r="B45" s="6" t="s">
        <v>76</v>
      </c>
      <c r="C45" s="6" t="s">
        <v>78</v>
      </c>
      <c r="D45" s="6" t="s">
        <v>124</v>
      </c>
      <c r="E45" s="12" t="n">
        <v>680000</v>
      </c>
      <c r="F45" s="13" t="n">
        <v>1904</v>
      </c>
      <c r="G45" s="5" t="str">
        <f aca="false">INDEX(Merchant_Map!$E$5:$E$24,MATCH(B45,Merchant_Map!$A$5:$A$24,0))</f>
        <v>House (Direct)</v>
      </c>
      <c r="H45" s="11" t="n">
        <f aca="false">INDEX(Merchant_Map!$G$5:$G$24,MATCH(B45,Merchant_Map!$A$5:$A$24,0))</f>
        <v>0</v>
      </c>
      <c r="I45" s="14" t="n">
        <f aca="false">F45*H45</f>
        <v>0</v>
      </c>
      <c r="J45" s="14" t="n">
        <f aca="false">F45-I45</f>
        <v>1904</v>
      </c>
    </row>
    <row r="46" customFormat="false" ht="15" hidden="false" customHeight="false" outlineLevel="0" collapsed="false">
      <c r="A46" s="6" t="s">
        <v>129</v>
      </c>
      <c r="B46" s="6" t="s">
        <v>76</v>
      </c>
      <c r="C46" s="6" t="s">
        <v>78</v>
      </c>
      <c r="D46" s="6" t="s">
        <v>124</v>
      </c>
      <c r="E46" s="12" t="n">
        <v>685003</v>
      </c>
      <c r="F46" s="13" t="n">
        <v>1918.01</v>
      </c>
      <c r="G46" s="5" t="str">
        <f aca="false">INDEX(Merchant_Map!$E$5:$E$24,MATCH(B46,Merchant_Map!$A$5:$A$24,0))</f>
        <v>House (Direct)</v>
      </c>
      <c r="H46" s="11" t="n">
        <f aca="false">INDEX(Merchant_Map!$G$5:$G$24,MATCH(B46,Merchant_Map!$A$5:$A$24,0))</f>
        <v>0</v>
      </c>
      <c r="I46" s="14" t="n">
        <f aca="false">F46*H46</f>
        <v>0</v>
      </c>
      <c r="J46" s="14" t="n">
        <f aca="false">F46-I46</f>
        <v>1918.01</v>
      </c>
    </row>
    <row r="47" customFormat="false" ht="15" hidden="false" customHeight="false" outlineLevel="0" collapsed="false">
      <c r="A47" s="6" t="s">
        <v>130</v>
      </c>
      <c r="B47" s="6" t="s">
        <v>76</v>
      </c>
      <c r="C47" s="6" t="s">
        <v>78</v>
      </c>
      <c r="D47" s="6" t="s">
        <v>124</v>
      </c>
      <c r="E47" s="12" t="n">
        <v>657259</v>
      </c>
      <c r="F47" s="13" t="n">
        <v>1840.33</v>
      </c>
      <c r="G47" s="5" t="str">
        <f aca="false">INDEX(Merchant_Map!$E$5:$E$24,MATCH(B47,Merchant_Map!$A$5:$A$24,0))</f>
        <v>House (Direct)</v>
      </c>
      <c r="H47" s="11" t="n">
        <f aca="false">INDEX(Merchant_Map!$G$5:$G$24,MATCH(B47,Merchant_Map!$A$5:$A$24,0))</f>
        <v>0</v>
      </c>
      <c r="I47" s="14" t="n">
        <f aca="false">F47*H47</f>
        <v>0</v>
      </c>
      <c r="J47" s="14" t="n">
        <f aca="false">F47-I47</f>
        <v>1840.33</v>
      </c>
    </row>
    <row r="48" customFormat="false" ht="15" hidden="false" customHeight="false" outlineLevel="0" collapsed="false">
      <c r="A48" s="6" t="s">
        <v>131</v>
      </c>
      <c r="B48" s="6" t="s">
        <v>76</v>
      </c>
      <c r="C48" s="6" t="s">
        <v>78</v>
      </c>
      <c r="D48" s="6" t="s">
        <v>124</v>
      </c>
      <c r="E48" s="12" t="n">
        <v>711513</v>
      </c>
      <c r="F48" s="13" t="n">
        <v>1992.24</v>
      </c>
      <c r="G48" s="5" t="str">
        <f aca="false">INDEX(Merchant_Map!$E$5:$E$24,MATCH(B48,Merchant_Map!$A$5:$A$24,0))</f>
        <v>House (Direct)</v>
      </c>
      <c r="H48" s="11" t="n">
        <f aca="false">INDEX(Merchant_Map!$G$5:$G$24,MATCH(B48,Merchant_Map!$A$5:$A$24,0))</f>
        <v>0</v>
      </c>
      <c r="I48" s="14" t="n">
        <f aca="false">F48*H48</f>
        <v>0</v>
      </c>
      <c r="J48" s="14" t="n">
        <f aca="false">F48-I48</f>
        <v>1992.24</v>
      </c>
    </row>
    <row r="49" customFormat="false" ht="15" hidden="false" customHeight="false" outlineLevel="0" collapsed="false">
      <c r="A49" s="6" t="s">
        <v>132</v>
      </c>
      <c r="B49" s="6" t="s">
        <v>76</v>
      </c>
      <c r="C49" s="6" t="s">
        <v>78</v>
      </c>
      <c r="D49" s="6" t="s">
        <v>124</v>
      </c>
      <c r="E49" s="12" t="n">
        <v>672477</v>
      </c>
      <c r="F49" s="13" t="n">
        <v>1882.94</v>
      </c>
      <c r="G49" s="5" t="str">
        <f aca="false">INDEX(Merchant_Map!$E$5:$E$24,MATCH(B49,Merchant_Map!$A$5:$A$24,0))</f>
        <v>House (Direct)</v>
      </c>
      <c r="H49" s="11" t="n">
        <f aca="false">INDEX(Merchant_Map!$G$5:$G$24,MATCH(B49,Merchant_Map!$A$5:$A$24,0))</f>
        <v>0</v>
      </c>
      <c r="I49" s="14" t="n">
        <f aca="false">F49*H49</f>
        <v>0</v>
      </c>
      <c r="J49" s="14" t="n">
        <f aca="false">F49-I49</f>
        <v>1882.94</v>
      </c>
    </row>
    <row r="50" customFormat="false" ht="15" hidden="false" customHeight="false" outlineLevel="0" collapsed="false">
      <c r="A50" s="6" t="s">
        <v>133</v>
      </c>
      <c r="B50" s="6" t="s">
        <v>76</v>
      </c>
      <c r="C50" s="6" t="s">
        <v>78</v>
      </c>
      <c r="D50" s="6" t="s">
        <v>124</v>
      </c>
      <c r="E50" s="12" t="n">
        <v>698934</v>
      </c>
      <c r="F50" s="13" t="n">
        <v>1957.02</v>
      </c>
      <c r="G50" s="5" t="str">
        <f aca="false">INDEX(Merchant_Map!$E$5:$E$24,MATCH(B50,Merchant_Map!$A$5:$A$24,0))</f>
        <v>House (Direct)</v>
      </c>
      <c r="H50" s="11" t="n">
        <f aca="false">INDEX(Merchant_Map!$G$5:$G$24,MATCH(B50,Merchant_Map!$A$5:$A$24,0))</f>
        <v>0</v>
      </c>
      <c r="I50" s="14" t="n">
        <f aca="false">F50*H50</f>
        <v>0</v>
      </c>
      <c r="J50" s="14" t="n">
        <f aca="false">F50-I50</f>
        <v>1957.02</v>
      </c>
    </row>
    <row r="51" customFormat="false" ht="15" hidden="false" customHeight="false" outlineLevel="0" collapsed="false">
      <c r="A51" s="6" t="s">
        <v>134</v>
      </c>
      <c r="B51" s="6" t="s">
        <v>76</v>
      </c>
      <c r="C51" s="6" t="s">
        <v>78</v>
      </c>
      <c r="D51" s="6" t="s">
        <v>124</v>
      </c>
      <c r="E51" s="12" t="n">
        <v>759863</v>
      </c>
      <c r="F51" s="13" t="n">
        <v>2127.62</v>
      </c>
      <c r="G51" s="5" t="str">
        <f aca="false">INDEX(Merchant_Map!$E$5:$E$24,MATCH(B51,Merchant_Map!$A$5:$A$24,0))</f>
        <v>House (Direct)</v>
      </c>
      <c r="H51" s="11" t="n">
        <f aca="false">INDEX(Merchant_Map!$G$5:$G$24,MATCH(B51,Merchant_Map!$A$5:$A$24,0))</f>
        <v>0</v>
      </c>
      <c r="I51" s="14" t="n">
        <f aca="false">F51*H51</f>
        <v>0</v>
      </c>
      <c r="J51" s="14" t="n">
        <f aca="false">F51-I51</f>
        <v>2127.62</v>
      </c>
    </row>
    <row r="52" customFormat="false" ht="15" hidden="false" customHeight="false" outlineLevel="0" collapsed="false">
      <c r="A52" s="6" t="s">
        <v>135</v>
      </c>
      <c r="B52" s="6" t="s">
        <v>76</v>
      </c>
      <c r="C52" s="6" t="s">
        <v>78</v>
      </c>
      <c r="D52" s="6" t="s">
        <v>124</v>
      </c>
      <c r="E52" s="12" t="n">
        <v>738517</v>
      </c>
      <c r="F52" s="13" t="n">
        <v>2067.85</v>
      </c>
      <c r="G52" s="5" t="str">
        <f aca="false">INDEX(Merchant_Map!$E$5:$E$24,MATCH(B52,Merchant_Map!$A$5:$A$24,0))</f>
        <v>House (Direct)</v>
      </c>
      <c r="H52" s="11" t="n">
        <f aca="false">INDEX(Merchant_Map!$G$5:$G$24,MATCH(B52,Merchant_Map!$A$5:$A$24,0))</f>
        <v>0</v>
      </c>
      <c r="I52" s="14" t="n">
        <f aca="false">F52*H52</f>
        <v>0</v>
      </c>
      <c r="J52" s="14" t="n">
        <f aca="false">F52-I52</f>
        <v>2067.85</v>
      </c>
    </row>
    <row r="53" customFormat="false" ht="15" hidden="false" customHeight="false" outlineLevel="0" collapsed="false">
      <c r="A53" s="6" t="s">
        <v>123</v>
      </c>
      <c r="B53" s="6" t="s">
        <v>79</v>
      </c>
      <c r="C53" s="6" t="s">
        <v>81</v>
      </c>
      <c r="D53" s="6" t="s">
        <v>124</v>
      </c>
      <c r="E53" s="12" t="n">
        <v>391658</v>
      </c>
      <c r="F53" s="13" t="n">
        <v>1879.96</v>
      </c>
      <c r="G53" s="5" t="str">
        <f aca="false">INDEX(Merchant_Map!$E$5:$E$24,MATCH(B53,Merchant_Map!$A$5:$A$24,0))</f>
        <v>Partner Delta</v>
      </c>
      <c r="H53" s="11" t="n">
        <f aca="false">INDEX(Merchant_Map!$G$5:$G$24,MATCH(B53,Merchant_Map!$A$5:$A$24,0))</f>
        <v>0.5</v>
      </c>
      <c r="I53" s="14" t="n">
        <f aca="false">F53*H53</f>
        <v>939.98</v>
      </c>
      <c r="J53" s="14" t="n">
        <f aca="false">F53-I53</f>
        <v>939.98</v>
      </c>
    </row>
    <row r="54" customFormat="false" ht="15" hidden="false" customHeight="false" outlineLevel="0" collapsed="false">
      <c r="A54" s="6" t="s">
        <v>123</v>
      </c>
      <c r="B54" s="6" t="s">
        <v>79</v>
      </c>
      <c r="C54" s="6" t="s">
        <v>75</v>
      </c>
      <c r="D54" s="6" t="s">
        <v>136</v>
      </c>
      <c r="E54" s="12" t="n">
        <v>0</v>
      </c>
      <c r="F54" s="13" t="n">
        <v>255.4</v>
      </c>
      <c r="G54" s="5" t="str">
        <f aca="false">INDEX(Merchant_Map!$E$5:$E$24,MATCH(B54,Merchant_Map!$A$5:$A$24,0))</f>
        <v>Partner Delta</v>
      </c>
      <c r="H54" s="11" t="n">
        <f aca="false">INDEX(Merchant_Map!$G$5:$G$24,MATCH(B54,Merchant_Map!$A$5:$A$24,0))</f>
        <v>0.5</v>
      </c>
      <c r="I54" s="14" t="n">
        <f aca="false">F54*H54</f>
        <v>127.7</v>
      </c>
      <c r="J54" s="14" t="n">
        <f aca="false">F54-I54</f>
        <v>127.7</v>
      </c>
    </row>
    <row r="55" customFormat="false" ht="15" hidden="false" customHeight="false" outlineLevel="0" collapsed="false">
      <c r="A55" s="6" t="s">
        <v>125</v>
      </c>
      <c r="B55" s="6" t="s">
        <v>79</v>
      </c>
      <c r="C55" s="6" t="s">
        <v>81</v>
      </c>
      <c r="D55" s="6" t="s">
        <v>124</v>
      </c>
      <c r="E55" s="12" t="n">
        <v>402389</v>
      </c>
      <c r="F55" s="13" t="n">
        <v>1931.47</v>
      </c>
      <c r="G55" s="5" t="str">
        <f aca="false">INDEX(Merchant_Map!$E$5:$E$24,MATCH(B55,Merchant_Map!$A$5:$A$24,0))</f>
        <v>Partner Delta</v>
      </c>
      <c r="H55" s="11" t="n">
        <f aca="false">INDEX(Merchant_Map!$G$5:$G$24,MATCH(B55,Merchant_Map!$A$5:$A$24,0))</f>
        <v>0.5</v>
      </c>
      <c r="I55" s="14" t="n">
        <f aca="false">F55*H55</f>
        <v>965.735</v>
      </c>
      <c r="J55" s="14" t="n">
        <f aca="false">F55-I55</f>
        <v>965.735</v>
      </c>
    </row>
    <row r="56" customFormat="false" ht="15" hidden="false" customHeight="false" outlineLevel="0" collapsed="false">
      <c r="A56" s="6" t="s">
        <v>125</v>
      </c>
      <c r="B56" s="6" t="s">
        <v>79</v>
      </c>
      <c r="C56" s="6" t="s">
        <v>75</v>
      </c>
      <c r="D56" s="6" t="s">
        <v>136</v>
      </c>
      <c r="E56" s="12" t="n">
        <v>0</v>
      </c>
      <c r="F56" s="13" t="n">
        <v>261.7</v>
      </c>
      <c r="G56" s="5" t="str">
        <f aca="false">INDEX(Merchant_Map!$E$5:$E$24,MATCH(B56,Merchant_Map!$A$5:$A$24,0))</f>
        <v>Partner Delta</v>
      </c>
      <c r="H56" s="11" t="n">
        <f aca="false">INDEX(Merchant_Map!$G$5:$G$24,MATCH(B56,Merchant_Map!$A$5:$A$24,0))</f>
        <v>0.5</v>
      </c>
      <c r="I56" s="14" t="n">
        <f aca="false">F56*H56</f>
        <v>130.85</v>
      </c>
      <c r="J56" s="14" t="n">
        <f aca="false">F56-I56</f>
        <v>130.85</v>
      </c>
    </row>
    <row r="57" customFormat="false" ht="15" hidden="false" customHeight="false" outlineLevel="0" collapsed="false">
      <c r="A57" s="6" t="s">
        <v>126</v>
      </c>
      <c r="B57" s="6" t="s">
        <v>79</v>
      </c>
      <c r="C57" s="6" t="s">
        <v>81</v>
      </c>
      <c r="D57" s="6" t="s">
        <v>124</v>
      </c>
      <c r="E57" s="12" t="n">
        <v>414783</v>
      </c>
      <c r="F57" s="13" t="n">
        <v>1990.96</v>
      </c>
      <c r="G57" s="5" t="str">
        <f aca="false">INDEX(Merchant_Map!$E$5:$E$24,MATCH(B57,Merchant_Map!$A$5:$A$24,0))</f>
        <v>Partner Delta</v>
      </c>
      <c r="H57" s="11" t="n">
        <f aca="false">INDEX(Merchant_Map!$G$5:$G$24,MATCH(B57,Merchant_Map!$A$5:$A$24,0))</f>
        <v>0.5</v>
      </c>
      <c r="I57" s="14" t="n">
        <f aca="false">F57*H57</f>
        <v>995.48</v>
      </c>
      <c r="J57" s="14" t="n">
        <f aca="false">F57-I57</f>
        <v>995.48</v>
      </c>
    </row>
    <row r="58" customFormat="false" ht="15" hidden="false" customHeight="false" outlineLevel="0" collapsed="false">
      <c r="A58" s="6" t="s">
        <v>126</v>
      </c>
      <c r="B58" s="6" t="s">
        <v>79</v>
      </c>
      <c r="C58" s="6" t="s">
        <v>75</v>
      </c>
      <c r="D58" s="6" t="s">
        <v>136</v>
      </c>
      <c r="E58" s="12" t="n">
        <v>0</v>
      </c>
      <c r="F58" s="13" t="n">
        <v>269</v>
      </c>
      <c r="G58" s="5" t="str">
        <f aca="false">INDEX(Merchant_Map!$E$5:$E$24,MATCH(B58,Merchant_Map!$A$5:$A$24,0))</f>
        <v>Partner Delta</v>
      </c>
      <c r="H58" s="11" t="n">
        <f aca="false">INDEX(Merchant_Map!$G$5:$G$24,MATCH(B58,Merchant_Map!$A$5:$A$24,0))</f>
        <v>0.5</v>
      </c>
      <c r="I58" s="14" t="n">
        <f aca="false">F58*H58</f>
        <v>134.5</v>
      </c>
      <c r="J58" s="14" t="n">
        <f aca="false">F58-I58</f>
        <v>134.5</v>
      </c>
    </row>
    <row r="59" customFormat="false" ht="15" hidden="false" customHeight="false" outlineLevel="0" collapsed="false">
      <c r="A59" s="6" t="s">
        <v>127</v>
      </c>
      <c r="B59" s="6" t="s">
        <v>79</v>
      </c>
      <c r="C59" s="6" t="s">
        <v>81</v>
      </c>
      <c r="D59" s="6" t="s">
        <v>124</v>
      </c>
      <c r="E59" s="12" t="n">
        <v>416526</v>
      </c>
      <c r="F59" s="13" t="n">
        <v>1999.32</v>
      </c>
      <c r="G59" s="5" t="str">
        <f aca="false">INDEX(Merchant_Map!$E$5:$E$24,MATCH(B59,Merchant_Map!$A$5:$A$24,0))</f>
        <v>Partner Delta</v>
      </c>
      <c r="H59" s="11" t="n">
        <f aca="false">INDEX(Merchant_Map!$G$5:$G$24,MATCH(B59,Merchant_Map!$A$5:$A$24,0))</f>
        <v>0.5</v>
      </c>
      <c r="I59" s="14" t="n">
        <f aca="false">F59*H59</f>
        <v>999.66</v>
      </c>
      <c r="J59" s="14" t="n">
        <f aca="false">F59-I59</f>
        <v>999.66</v>
      </c>
    </row>
    <row r="60" customFormat="false" ht="15" hidden="false" customHeight="false" outlineLevel="0" collapsed="false">
      <c r="A60" s="6" t="s">
        <v>127</v>
      </c>
      <c r="B60" s="6" t="s">
        <v>79</v>
      </c>
      <c r="C60" s="6" t="s">
        <v>75</v>
      </c>
      <c r="D60" s="6" t="s">
        <v>136</v>
      </c>
      <c r="E60" s="12" t="n">
        <v>0</v>
      </c>
      <c r="F60" s="13" t="n">
        <v>270</v>
      </c>
      <c r="G60" s="5" t="str">
        <f aca="false">INDEX(Merchant_Map!$E$5:$E$24,MATCH(B60,Merchant_Map!$A$5:$A$24,0))</f>
        <v>Partner Delta</v>
      </c>
      <c r="H60" s="11" t="n">
        <f aca="false">INDEX(Merchant_Map!$G$5:$G$24,MATCH(B60,Merchant_Map!$A$5:$A$24,0))</f>
        <v>0.5</v>
      </c>
      <c r="I60" s="14" t="n">
        <f aca="false">F60*H60</f>
        <v>135</v>
      </c>
      <c r="J60" s="14" t="n">
        <f aca="false">F60-I60</f>
        <v>135</v>
      </c>
    </row>
    <row r="61" customFormat="false" ht="15" hidden="false" customHeight="false" outlineLevel="0" collapsed="false">
      <c r="A61" s="6" t="s">
        <v>128</v>
      </c>
      <c r="B61" s="6" t="s">
        <v>79</v>
      </c>
      <c r="C61" s="6" t="s">
        <v>81</v>
      </c>
      <c r="D61" s="6" t="s">
        <v>124</v>
      </c>
      <c r="E61" s="12" t="n">
        <v>394745</v>
      </c>
      <c r="F61" s="13" t="n">
        <v>1894.78</v>
      </c>
      <c r="G61" s="5" t="str">
        <f aca="false">INDEX(Merchant_Map!$E$5:$E$24,MATCH(B61,Merchant_Map!$A$5:$A$24,0))</f>
        <v>Partner Delta</v>
      </c>
      <c r="H61" s="11" t="n">
        <f aca="false">INDEX(Merchant_Map!$G$5:$G$24,MATCH(B61,Merchant_Map!$A$5:$A$24,0))</f>
        <v>0.5</v>
      </c>
      <c r="I61" s="14" t="n">
        <f aca="false">F61*H61</f>
        <v>947.39</v>
      </c>
      <c r="J61" s="14" t="n">
        <f aca="false">F61-I61</f>
        <v>947.39</v>
      </c>
    </row>
    <row r="62" customFormat="false" ht="15" hidden="false" customHeight="false" outlineLevel="0" collapsed="false">
      <c r="A62" s="6" t="s">
        <v>128</v>
      </c>
      <c r="B62" s="6" t="s">
        <v>79</v>
      </c>
      <c r="C62" s="6" t="s">
        <v>75</v>
      </c>
      <c r="D62" s="6" t="s">
        <v>136</v>
      </c>
      <c r="E62" s="12" t="n">
        <v>0</v>
      </c>
      <c r="F62" s="13" t="n">
        <v>257.2</v>
      </c>
      <c r="G62" s="5" t="str">
        <f aca="false">INDEX(Merchant_Map!$E$5:$E$24,MATCH(B62,Merchant_Map!$A$5:$A$24,0))</f>
        <v>Partner Delta</v>
      </c>
      <c r="H62" s="11" t="n">
        <f aca="false">INDEX(Merchant_Map!$G$5:$G$24,MATCH(B62,Merchant_Map!$A$5:$A$24,0))</f>
        <v>0.5</v>
      </c>
      <c r="I62" s="14" t="n">
        <f aca="false">F62*H62</f>
        <v>128.6</v>
      </c>
      <c r="J62" s="14" t="n">
        <f aca="false">F62-I62</f>
        <v>128.6</v>
      </c>
    </row>
    <row r="63" customFormat="false" ht="15" hidden="false" customHeight="false" outlineLevel="0" collapsed="false">
      <c r="A63" s="6" t="s">
        <v>129</v>
      </c>
      <c r="B63" s="6" t="s">
        <v>79</v>
      </c>
      <c r="C63" s="6" t="s">
        <v>81</v>
      </c>
      <c r="D63" s="6" t="s">
        <v>124</v>
      </c>
      <c r="E63" s="12" t="n">
        <v>389723</v>
      </c>
      <c r="F63" s="13" t="n">
        <v>1870.67</v>
      </c>
      <c r="G63" s="5" t="str">
        <f aca="false">INDEX(Merchant_Map!$E$5:$E$24,MATCH(B63,Merchant_Map!$A$5:$A$24,0))</f>
        <v>Partner Delta</v>
      </c>
      <c r="H63" s="11" t="n">
        <f aca="false">INDEX(Merchant_Map!$G$5:$G$24,MATCH(B63,Merchant_Map!$A$5:$A$24,0))</f>
        <v>0.5</v>
      </c>
      <c r="I63" s="14" t="n">
        <f aca="false">F63*H63</f>
        <v>935.335</v>
      </c>
      <c r="J63" s="14" t="n">
        <f aca="false">F63-I63</f>
        <v>935.335</v>
      </c>
    </row>
    <row r="64" customFormat="false" ht="15" hidden="false" customHeight="false" outlineLevel="0" collapsed="false">
      <c r="A64" s="6" t="s">
        <v>129</v>
      </c>
      <c r="B64" s="6" t="s">
        <v>79</v>
      </c>
      <c r="C64" s="6" t="s">
        <v>75</v>
      </c>
      <c r="D64" s="6" t="s">
        <v>136</v>
      </c>
      <c r="E64" s="12" t="n">
        <v>0</v>
      </c>
      <c r="F64" s="13" t="n">
        <v>254.25</v>
      </c>
      <c r="G64" s="5" t="str">
        <f aca="false">INDEX(Merchant_Map!$E$5:$E$24,MATCH(B64,Merchant_Map!$A$5:$A$24,0))</f>
        <v>Partner Delta</v>
      </c>
      <c r="H64" s="11" t="n">
        <f aca="false">INDEX(Merchant_Map!$G$5:$G$24,MATCH(B64,Merchant_Map!$A$5:$A$24,0))</f>
        <v>0.5</v>
      </c>
      <c r="I64" s="14" t="n">
        <f aca="false">F64*H64</f>
        <v>127.125</v>
      </c>
      <c r="J64" s="14" t="n">
        <f aca="false">F64-I64</f>
        <v>127.125</v>
      </c>
    </row>
    <row r="65" customFormat="false" ht="15" hidden="false" customHeight="false" outlineLevel="0" collapsed="false">
      <c r="A65" s="6" t="s">
        <v>130</v>
      </c>
      <c r="B65" s="6" t="s">
        <v>79</v>
      </c>
      <c r="C65" s="6" t="s">
        <v>81</v>
      </c>
      <c r="D65" s="6" t="s">
        <v>124</v>
      </c>
      <c r="E65" s="12" t="n">
        <v>408608</v>
      </c>
      <c r="F65" s="13" t="n">
        <v>1961.32</v>
      </c>
      <c r="G65" s="5" t="str">
        <f aca="false">INDEX(Merchant_Map!$E$5:$E$24,MATCH(B65,Merchant_Map!$A$5:$A$24,0))</f>
        <v>Partner Delta</v>
      </c>
      <c r="H65" s="11" t="n">
        <f aca="false">INDEX(Merchant_Map!$G$5:$G$24,MATCH(B65,Merchant_Map!$A$5:$A$24,0))</f>
        <v>0.5</v>
      </c>
      <c r="I65" s="14" t="n">
        <f aca="false">F65*H65</f>
        <v>980.66</v>
      </c>
      <c r="J65" s="14" t="n">
        <f aca="false">F65-I65</f>
        <v>980.66</v>
      </c>
    </row>
    <row r="66" customFormat="false" ht="15" hidden="false" customHeight="false" outlineLevel="0" collapsed="false">
      <c r="A66" s="6" t="s">
        <v>130</v>
      </c>
      <c r="B66" s="6" t="s">
        <v>79</v>
      </c>
      <c r="C66" s="6" t="s">
        <v>75</v>
      </c>
      <c r="D66" s="6" t="s">
        <v>136</v>
      </c>
      <c r="E66" s="12" t="n">
        <v>0</v>
      </c>
      <c r="F66" s="13" t="n">
        <v>265.35</v>
      </c>
      <c r="G66" s="5" t="str">
        <f aca="false">INDEX(Merchant_Map!$E$5:$E$24,MATCH(B66,Merchant_Map!$A$5:$A$24,0))</f>
        <v>Partner Delta</v>
      </c>
      <c r="H66" s="11" t="n">
        <f aca="false">INDEX(Merchant_Map!$G$5:$G$24,MATCH(B66,Merchant_Map!$A$5:$A$24,0))</f>
        <v>0.5</v>
      </c>
      <c r="I66" s="14" t="n">
        <f aca="false">F66*H66</f>
        <v>132.675</v>
      </c>
      <c r="J66" s="14" t="n">
        <f aca="false">F66-I66</f>
        <v>132.675</v>
      </c>
    </row>
    <row r="67" customFormat="false" ht="15" hidden="false" customHeight="false" outlineLevel="0" collapsed="false">
      <c r="A67" s="6" t="s">
        <v>131</v>
      </c>
      <c r="B67" s="6" t="s">
        <v>79</v>
      </c>
      <c r="C67" s="6" t="s">
        <v>81</v>
      </c>
      <c r="D67" s="6" t="s">
        <v>124</v>
      </c>
      <c r="E67" s="12" t="n">
        <v>411090</v>
      </c>
      <c r="F67" s="13" t="n">
        <v>1973.23</v>
      </c>
      <c r="G67" s="5" t="str">
        <f aca="false">INDEX(Merchant_Map!$E$5:$E$24,MATCH(B67,Merchant_Map!$A$5:$A$24,0))</f>
        <v>Partner Delta</v>
      </c>
      <c r="H67" s="11" t="n">
        <f aca="false">INDEX(Merchant_Map!$G$5:$G$24,MATCH(B67,Merchant_Map!$A$5:$A$24,0))</f>
        <v>0.5</v>
      </c>
      <c r="I67" s="14" t="n">
        <f aca="false">F67*H67</f>
        <v>986.615</v>
      </c>
      <c r="J67" s="14" t="n">
        <f aca="false">F67-I67</f>
        <v>986.615</v>
      </c>
    </row>
    <row r="68" customFormat="false" ht="15" hidden="false" customHeight="false" outlineLevel="0" collapsed="false">
      <c r="A68" s="6" t="s">
        <v>131</v>
      </c>
      <c r="B68" s="6" t="s">
        <v>79</v>
      </c>
      <c r="C68" s="6" t="s">
        <v>75</v>
      </c>
      <c r="D68" s="6" t="s">
        <v>136</v>
      </c>
      <c r="E68" s="12" t="n">
        <v>0</v>
      </c>
      <c r="F68" s="13" t="n">
        <v>266.8</v>
      </c>
      <c r="G68" s="5" t="str">
        <f aca="false">INDEX(Merchant_Map!$E$5:$E$24,MATCH(B68,Merchant_Map!$A$5:$A$24,0))</f>
        <v>Partner Delta</v>
      </c>
      <c r="H68" s="11" t="n">
        <f aca="false">INDEX(Merchant_Map!$G$5:$G$24,MATCH(B68,Merchant_Map!$A$5:$A$24,0))</f>
        <v>0.5</v>
      </c>
      <c r="I68" s="14" t="n">
        <f aca="false">F68*H68</f>
        <v>133.4</v>
      </c>
      <c r="J68" s="14" t="n">
        <f aca="false">F68-I68</f>
        <v>133.4</v>
      </c>
    </row>
    <row r="69" customFormat="false" ht="15" hidden="false" customHeight="false" outlineLevel="0" collapsed="false">
      <c r="A69" s="6" t="s">
        <v>132</v>
      </c>
      <c r="B69" s="6" t="s">
        <v>79</v>
      </c>
      <c r="C69" s="6" t="s">
        <v>81</v>
      </c>
      <c r="D69" s="6" t="s">
        <v>124</v>
      </c>
      <c r="E69" s="12" t="n">
        <v>413108</v>
      </c>
      <c r="F69" s="13" t="n">
        <v>1982.92</v>
      </c>
      <c r="G69" s="5" t="str">
        <f aca="false">INDEX(Merchant_Map!$E$5:$E$24,MATCH(B69,Merchant_Map!$A$5:$A$24,0))</f>
        <v>Partner Delta</v>
      </c>
      <c r="H69" s="11" t="n">
        <f aca="false">INDEX(Merchant_Map!$G$5:$G$24,MATCH(B69,Merchant_Map!$A$5:$A$24,0))</f>
        <v>0.5</v>
      </c>
      <c r="I69" s="14" t="n">
        <f aca="false">F69*H69</f>
        <v>991.46</v>
      </c>
      <c r="J69" s="14" t="n">
        <f aca="false">F69-I69</f>
        <v>991.46</v>
      </c>
    </row>
    <row r="70" customFormat="false" ht="15" hidden="false" customHeight="false" outlineLevel="0" collapsed="false">
      <c r="A70" s="6" t="s">
        <v>132</v>
      </c>
      <c r="B70" s="6" t="s">
        <v>79</v>
      </c>
      <c r="C70" s="6" t="s">
        <v>75</v>
      </c>
      <c r="D70" s="6" t="s">
        <v>136</v>
      </c>
      <c r="E70" s="12" t="n">
        <v>0</v>
      </c>
      <c r="F70" s="13" t="n">
        <v>268</v>
      </c>
      <c r="G70" s="5" t="str">
        <f aca="false">INDEX(Merchant_Map!$E$5:$E$24,MATCH(B70,Merchant_Map!$A$5:$A$24,0))</f>
        <v>Partner Delta</v>
      </c>
      <c r="H70" s="11" t="n">
        <f aca="false">INDEX(Merchant_Map!$G$5:$G$24,MATCH(B70,Merchant_Map!$A$5:$A$24,0))</f>
        <v>0.5</v>
      </c>
      <c r="I70" s="14" t="n">
        <f aca="false">F70*H70</f>
        <v>134</v>
      </c>
      <c r="J70" s="14" t="n">
        <f aca="false">F70-I70</f>
        <v>134</v>
      </c>
    </row>
    <row r="71" customFormat="false" ht="15" hidden="false" customHeight="false" outlineLevel="0" collapsed="false">
      <c r="A71" s="6" t="s">
        <v>133</v>
      </c>
      <c r="B71" s="6" t="s">
        <v>79</v>
      </c>
      <c r="C71" s="6" t="s">
        <v>81</v>
      </c>
      <c r="D71" s="6" t="s">
        <v>124</v>
      </c>
      <c r="E71" s="12" t="n">
        <v>456104</v>
      </c>
      <c r="F71" s="13" t="n">
        <v>2189.3</v>
      </c>
      <c r="G71" s="5" t="str">
        <f aca="false">INDEX(Merchant_Map!$E$5:$E$24,MATCH(B71,Merchant_Map!$A$5:$A$24,0))</f>
        <v>Partner Delta</v>
      </c>
      <c r="H71" s="11" t="n">
        <f aca="false">INDEX(Merchant_Map!$G$5:$G$24,MATCH(B71,Merchant_Map!$A$5:$A$24,0))</f>
        <v>0.5</v>
      </c>
      <c r="I71" s="14" t="n">
        <f aca="false">F71*H71</f>
        <v>1094.65</v>
      </c>
      <c r="J71" s="14" t="n">
        <f aca="false">F71-I71</f>
        <v>1094.65</v>
      </c>
    </row>
    <row r="72" customFormat="false" ht="15" hidden="false" customHeight="false" outlineLevel="0" collapsed="false">
      <c r="A72" s="6" t="s">
        <v>133</v>
      </c>
      <c r="B72" s="6" t="s">
        <v>79</v>
      </c>
      <c r="C72" s="6" t="s">
        <v>75</v>
      </c>
      <c r="D72" s="6" t="s">
        <v>136</v>
      </c>
      <c r="E72" s="12" t="n">
        <v>0</v>
      </c>
      <c r="F72" s="13" t="n">
        <v>293.3</v>
      </c>
      <c r="G72" s="5" t="str">
        <f aca="false">INDEX(Merchant_Map!$E$5:$E$24,MATCH(B72,Merchant_Map!$A$5:$A$24,0))</f>
        <v>Partner Delta</v>
      </c>
      <c r="H72" s="11" t="n">
        <f aca="false">INDEX(Merchant_Map!$G$5:$G$24,MATCH(B72,Merchant_Map!$A$5:$A$24,0))</f>
        <v>0.5</v>
      </c>
      <c r="I72" s="14" t="n">
        <f aca="false">F72*H72</f>
        <v>146.65</v>
      </c>
      <c r="J72" s="14" t="n">
        <f aca="false">F72-I72</f>
        <v>146.65</v>
      </c>
    </row>
    <row r="73" customFormat="false" ht="15" hidden="false" customHeight="false" outlineLevel="0" collapsed="false">
      <c r="A73" s="6" t="s">
        <v>134</v>
      </c>
      <c r="B73" s="6" t="s">
        <v>79</v>
      </c>
      <c r="C73" s="6" t="s">
        <v>81</v>
      </c>
      <c r="D73" s="6" t="s">
        <v>124</v>
      </c>
      <c r="E73" s="12" t="n">
        <v>458078</v>
      </c>
      <c r="F73" s="13" t="n">
        <v>2198.77</v>
      </c>
      <c r="G73" s="5" t="str">
        <f aca="false">INDEX(Merchant_Map!$E$5:$E$24,MATCH(B73,Merchant_Map!$A$5:$A$24,0))</f>
        <v>Partner Delta</v>
      </c>
      <c r="H73" s="11" t="n">
        <f aca="false">INDEX(Merchant_Map!$G$5:$G$24,MATCH(B73,Merchant_Map!$A$5:$A$24,0))</f>
        <v>0.5</v>
      </c>
      <c r="I73" s="14" t="n">
        <f aca="false">F73*H73</f>
        <v>1099.385</v>
      </c>
      <c r="J73" s="14" t="n">
        <f aca="false">F73-I73</f>
        <v>1099.385</v>
      </c>
    </row>
    <row r="74" customFormat="false" ht="15" hidden="false" customHeight="false" outlineLevel="0" collapsed="false">
      <c r="A74" s="6" t="s">
        <v>134</v>
      </c>
      <c r="B74" s="6" t="s">
        <v>79</v>
      </c>
      <c r="C74" s="6" t="s">
        <v>75</v>
      </c>
      <c r="D74" s="6" t="s">
        <v>136</v>
      </c>
      <c r="E74" s="12" t="n">
        <v>0</v>
      </c>
      <c r="F74" s="13" t="n">
        <v>294.45</v>
      </c>
      <c r="G74" s="5" t="str">
        <f aca="false">INDEX(Merchant_Map!$E$5:$E$24,MATCH(B74,Merchant_Map!$A$5:$A$24,0))</f>
        <v>Partner Delta</v>
      </c>
      <c r="H74" s="11" t="n">
        <f aca="false">INDEX(Merchant_Map!$G$5:$G$24,MATCH(B74,Merchant_Map!$A$5:$A$24,0))</f>
        <v>0.5</v>
      </c>
      <c r="I74" s="14" t="n">
        <f aca="false">F74*H74</f>
        <v>147.225</v>
      </c>
      <c r="J74" s="14" t="n">
        <f aca="false">F74-I74</f>
        <v>147.225</v>
      </c>
    </row>
    <row r="75" customFormat="false" ht="15" hidden="false" customHeight="false" outlineLevel="0" collapsed="false">
      <c r="A75" s="6" t="s">
        <v>135</v>
      </c>
      <c r="B75" s="6" t="s">
        <v>79</v>
      </c>
      <c r="C75" s="6" t="s">
        <v>81</v>
      </c>
      <c r="D75" s="6" t="s">
        <v>124</v>
      </c>
      <c r="E75" s="12" t="n">
        <v>433679</v>
      </c>
      <c r="F75" s="13" t="n">
        <v>2081.66</v>
      </c>
      <c r="G75" s="5" t="str">
        <f aca="false">INDEX(Merchant_Map!$E$5:$E$24,MATCH(B75,Merchant_Map!$A$5:$A$24,0))</f>
        <v>Partner Delta</v>
      </c>
      <c r="H75" s="11" t="n">
        <f aca="false">INDEX(Merchant_Map!$G$5:$G$24,MATCH(B75,Merchant_Map!$A$5:$A$24,0))</f>
        <v>0.5</v>
      </c>
      <c r="I75" s="14" t="n">
        <f aca="false">F75*H75</f>
        <v>1040.83</v>
      </c>
      <c r="J75" s="14" t="n">
        <f aca="false">F75-I75</f>
        <v>1040.83</v>
      </c>
    </row>
    <row r="76" customFormat="false" ht="15" hidden="false" customHeight="false" outlineLevel="0" collapsed="false">
      <c r="A76" s="6" t="s">
        <v>135</v>
      </c>
      <c r="B76" s="6" t="s">
        <v>79</v>
      </c>
      <c r="C76" s="6" t="s">
        <v>75</v>
      </c>
      <c r="D76" s="6" t="s">
        <v>136</v>
      </c>
      <c r="E76" s="12" t="n">
        <v>0</v>
      </c>
      <c r="F76" s="13" t="n">
        <v>280.1</v>
      </c>
      <c r="G76" s="5" t="str">
        <f aca="false">INDEX(Merchant_Map!$E$5:$E$24,MATCH(B76,Merchant_Map!$A$5:$A$24,0))</f>
        <v>Partner Delta</v>
      </c>
      <c r="H76" s="11" t="n">
        <f aca="false">INDEX(Merchant_Map!$G$5:$G$24,MATCH(B76,Merchant_Map!$A$5:$A$24,0))</f>
        <v>0.5</v>
      </c>
      <c r="I76" s="14" t="n">
        <f aca="false">F76*H76</f>
        <v>140.05</v>
      </c>
      <c r="J76" s="14" t="n">
        <f aca="false">F76-I76</f>
        <v>140.05</v>
      </c>
    </row>
    <row r="77" customFormat="false" ht="15" hidden="false" customHeight="false" outlineLevel="0" collapsed="false">
      <c r="A77" s="6" t="s">
        <v>123</v>
      </c>
      <c r="B77" s="6" t="s">
        <v>82</v>
      </c>
      <c r="C77" s="6" t="s">
        <v>70</v>
      </c>
      <c r="D77" s="6" t="s">
        <v>124</v>
      </c>
      <c r="E77" s="12" t="n">
        <v>1320174</v>
      </c>
      <c r="F77" s="13" t="n">
        <v>2904.38</v>
      </c>
      <c r="G77" s="5" t="str">
        <f aca="false">INDEX(Merchant_Map!$E$5:$E$24,MATCH(B77,Merchant_Map!$A$5:$A$24,0))</f>
        <v>Partner Alpha</v>
      </c>
      <c r="H77" s="11" t="n">
        <f aca="false">INDEX(Merchant_Map!$G$5:$G$24,MATCH(B77,Merchant_Map!$A$5:$A$24,0))</f>
        <v>0.4</v>
      </c>
      <c r="I77" s="14" t="n">
        <f aca="false">F77*H77</f>
        <v>1161.752</v>
      </c>
      <c r="J77" s="14" t="n">
        <f aca="false">F77-I77</f>
        <v>1742.628</v>
      </c>
    </row>
    <row r="78" customFormat="false" ht="15" hidden="false" customHeight="false" outlineLevel="0" collapsed="false">
      <c r="A78" s="6" t="s">
        <v>125</v>
      </c>
      <c r="B78" s="6" t="s">
        <v>82</v>
      </c>
      <c r="C78" s="6" t="s">
        <v>70</v>
      </c>
      <c r="D78" s="6" t="s">
        <v>124</v>
      </c>
      <c r="E78" s="12" t="n">
        <v>1295126</v>
      </c>
      <c r="F78" s="13" t="n">
        <v>2849.28</v>
      </c>
      <c r="G78" s="5" t="str">
        <f aca="false">INDEX(Merchant_Map!$E$5:$E$24,MATCH(B78,Merchant_Map!$A$5:$A$24,0))</f>
        <v>Partner Alpha</v>
      </c>
      <c r="H78" s="11" t="n">
        <f aca="false">INDEX(Merchant_Map!$G$5:$G$24,MATCH(B78,Merchant_Map!$A$5:$A$24,0))</f>
        <v>0.4</v>
      </c>
      <c r="I78" s="14" t="n">
        <f aca="false">F78*H78</f>
        <v>1139.712</v>
      </c>
      <c r="J78" s="14" t="n">
        <f aca="false">F78-I78</f>
        <v>1709.568</v>
      </c>
    </row>
    <row r="79" customFormat="false" ht="15" hidden="false" customHeight="false" outlineLevel="0" collapsed="false">
      <c r="A79" s="6" t="s">
        <v>126</v>
      </c>
      <c r="B79" s="6" t="s">
        <v>82</v>
      </c>
      <c r="C79" s="6" t="s">
        <v>70</v>
      </c>
      <c r="D79" s="6" t="s">
        <v>124</v>
      </c>
      <c r="E79" s="12" t="n">
        <v>1393318</v>
      </c>
      <c r="F79" s="13" t="n">
        <v>3065.3</v>
      </c>
      <c r="G79" s="5" t="str">
        <f aca="false">INDEX(Merchant_Map!$E$5:$E$24,MATCH(B79,Merchant_Map!$A$5:$A$24,0))</f>
        <v>Partner Alpha</v>
      </c>
      <c r="H79" s="11" t="n">
        <f aca="false">INDEX(Merchant_Map!$G$5:$G$24,MATCH(B79,Merchant_Map!$A$5:$A$24,0))</f>
        <v>0.4</v>
      </c>
      <c r="I79" s="14" t="n">
        <f aca="false">F79*H79</f>
        <v>1226.12</v>
      </c>
      <c r="J79" s="14" t="n">
        <f aca="false">F79-I79</f>
        <v>1839.18</v>
      </c>
    </row>
    <row r="80" customFormat="false" ht="15" hidden="false" customHeight="false" outlineLevel="0" collapsed="false">
      <c r="A80" s="6" t="s">
        <v>127</v>
      </c>
      <c r="B80" s="6" t="s">
        <v>82</v>
      </c>
      <c r="C80" s="6" t="s">
        <v>70</v>
      </c>
      <c r="D80" s="6" t="s">
        <v>124</v>
      </c>
      <c r="E80" s="12" t="n">
        <v>1336586</v>
      </c>
      <c r="F80" s="13" t="n">
        <v>2940.49</v>
      </c>
      <c r="G80" s="5" t="str">
        <f aca="false">INDEX(Merchant_Map!$E$5:$E$24,MATCH(B80,Merchant_Map!$A$5:$A$24,0))</f>
        <v>Partner Alpha</v>
      </c>
      <c r="H80" s="11" t="n">
        <f aca="false">INDEX(Merchant_Map!$G$5:$G$24,MATCH(B80,Merchant_Map!$A$5:$A$24,0))</f>
        <v>0.4</v>
      </c>
      <c r="I80" s="14" t="n">
        <f aca="false">F80*H80</f>
        <v>1176.196</v>
      </c>
      <c r="J80" s="14" t="n">
        <f aca="false">F80-I80</f>
        <v>1764.294</v>
      </c>
    </row>
    <row r="81" customFormat="false" ht="15" hidden="false" customHeight="false" outlineLevel="0" collapsed="false">
      <c r="A81" s="6" t="s">
        <v>128</v>
      </c>
      <c r="B81" s="6" t="s">
        <v>82</v>
      </c>
      <c r="C81" s="6" t="s">
        <v>70</v>
      </c>
      <c r="D81" s="6" t="s">
        <v>124</v>
      </c>
      <c r="E81" s="12" t="n">
        <v>1320984</v>
      </c>
      <c r="F81" s="13" t="n">
        <v>2906.16</v>
      </c>
      <c r="G81" s="5" t="str">
        <f aca="false">INDEX(Merchant_Map!$E$5:$E$24,MATCH(B81,Merchant_Map!$A$5:$A$24,0))</f>
        <v>Partner Alpha</v>
      </c>
      <c r="H81" s="11" t="n">
        <f aca="false">INDEX(Merchant_Map!$G$5:$G$24,MATCH(B81,Merchant_Map!$A$5:$A$24,0))</f>
        <v>0.4</v>
      </c>
      <c r="I81" s="14" t="n">
        <f aca="false">F81*H81</f>
        <v>1162.464</v>
      </c>
      <c r="J81" s="14" t="n">
        <f aca="false">F81-I81</f>
        <v>1743.696</v>
      </c>
    </row>
    <row r="82" customFormat="false" ht="15" hidden="false" customHeight="false" outlineLevel="0" collapsed="false">
      <c r="A82" s="6" t="s">
        <v>129</v>
      </c>
      <c r="B82" s="6" t="s">
        <v>82</v>
      </c>
      <c r="C82" s="6" t="s">
        <v>70</v>
      </c>
      <c r="D82" s="6" t="s">
        <v>124</v>
      </c>
      <c r="E82" s="12" t="n">
        <v>1333823</v>
      </c>
      <c r="F82" s="13" t="n">
        <v>2934.41</v>
      </c>
      <c r="G82" s="5" t="str">
        <f aca="false">INDEX(Merchant_Map!$E$5:$E$24,MATCH(B82,Merchant_Map!$A$5:$A$24,0))</f>
        <v>Partner Alpha</v>
      </c>
      <c r="H82" s="11" t="n">
        <f aca="false">INDEX(Merchant_Map!$G$5:$G$24,MATCH(B82,Merchant_Map!$A$5:$A$24,0))</f>
        <v>0.4</v>
      </c>
      <c r="I82" s="14" t="n">
        <f aca="false">F82*H82</f>
        <v>1173.764</v>
      </c>
      <c r="J82" s="14" t="n">
        <f aca="false">F82-I82</f>
        <v>1760.646</v>
      </c>
    </row>
    <row r="83" customFormat="false" ht="15" hidden="false" customHeight="false" outlineLevel="0" collapsed="false">
      <c r="A83" s="6" t="s">
        <v>130</v>
      </c>
      <c r="B83" s="6" t="s">
        <v>82</v>
      </c>
      <c r="C83" s="6" t="s">
        <v>70</v>
      </c>
      <c r="D83" s="6" t="s">
        <v>124</v>
      </c>
      <c r="E83" s="12" t="n">
        <v>1402409</v>
      </c>
      <c r="F83" s="13" t="n">
        <v>3085.3</v>
      </c>
      <c r="G83" s="5" t="str">
        <f aca="false">INDEX(Merchant_Map!$E$5:$E$24,MATCH(B83,Merchant_Map!$A$5:$A$24,0))</f>
        <v>Partner Alpha</v>
      </c>
      <c r="H83" s="11" t="n">
        <f aca="false">INDEX(Merchant_Map!$G$5:$G$24,MATCH(B83,Merchant_Map!$A$5:$A$24,0))</f>
        <v>0.4</v>
      </c>
      <c r="I83" s="14" t="n">
        <f aca="false">F83*H83</f>
        <v>1234.12</v>
      </c>
      <c r="J83" s="14" t="n">
        <f aca="false">F83-I83</f>
        <v>1851.18</v>
      </c>
    </row>
    <row r="84" customFormat="false" ht="15" hidden="false" customHeight="false" outlineLevel="0" collapsed="false">
      <c r="A84" s="6" t="s">
        <v>131</v>
      </c>
      <c r="B84" s="6" t="s">
        <v>82</v>
      </c>
      <c r="C84" s="6" t="s">
        <v>70</v>
      </c>
      <c r="D84" s="6" t="s">
        <v>124</v>
      </c>
      <c r="E84" s="12" t="n">
        <v>1368751</v>
      </c>
      <c r="F84" s="13" t="n">
        <v>3011.25</v>
      </c>
      <c r="G84" s="5" t="str">
        <f aca="false">INDEX(Merchant_Map!$E$5:$E$24,MATCH(B84,Merchant_Map!$A$5:$A$24,0))</f>
        <v>Partner Alpha</v>
      </c>
      <c r="H84" s="11" t="n">
        <f aca="false">INDEX(Merchant_Map!$G$5:$G$24,MATCH(B84,Merchant_Map!$A$5:$A$24,0))</f>
        <v>0.4</v>
      </c>
      <c r="I84" s="14" t="n">
        <f aca="false">F84*H84</f>
        <v>1204.5</v>
      </c>
      <c r="J84" s="14" t="n">
        <f aca="false">F84-I84</f>
        <v>1806.75</v>
      </c>
    </row>
    <row r="85" customFormat="false" ht="15" hidden="false" customHeight="false" outlineLevel="0" collapsed="false">
      <c r="A85" s="6" t="s">
        <v>132</v>
      </c>
      <c r="B85" s="6" t="s">
        <v>82</v>
      </c>
      <c r="C85" s="6" t="s">
        <v>70</v>
      </c>
      <c r="D85" s="6" t="s">
        <v>124</v>
      </c>
      <c r="E85" s="12" t="n">
        <v>1440241</v>
      </c>
      <c r="F85" s="13" t="n">
        <v>3168.53</v>
      </c>
      <c r="G85" s="5" t="str">
        <f aca="false">INDEX(Merchant_Map!$E$5:$E$24,MATCH(B85,Merchant_Map!$A$5:$A$24,0))</f>
        <v>Partner Alpha</v>
      </c>
      <c r="H85" s="11" t="n">
        <f aca="false">INDEX(Merchant_Map!$G$5:$G$24,MATCH(B85,Merchant_Map!$A$5:$A$24,0))</f>
        <v>0.4</v>
      </c>
      <c r="I85" s="14" t="n">
        <f aca="false">F85*H85</f>
        <v>1267.412</v>
      </c>
      <c r="J85" s="14" t="n">
        <f aca="false">F85-I85</f>
        <v>1901.118</v>
      </c>
    </row>
    <row r="86" customFormat="false" ht="15" hidden="false" customHeight="false" outlineLevel="0" collapsed="false">
      <c r="A86" s="6" t="s">
        <v>133</v>
      </c>
      <c r="B86" s="6" t="s">
        <v>82</v>
      </c>
      <c r="C86" s="6" t="s">
        <v>70</v>
      </c>
      <c r="D86" s="6" t="s">
        <v>124</v>
      </c>
      <c r="E86" s="12" t="n">
        <v>1511759</v>
      </c>
      <c r="F86" s="13" t="n">
        <v>3325.87</v>
      </c>
      <c r="G86" s="5" t="str">
        <f aca="false">INDEX(Merchant_Map!$E$5:$E$24,MATCH(B86,Merchant_Map!$A$5:$A$24,0))</f>
        <v>Partner Alpha</v>
      </c>
      <c r="H86" s="11" t="n">
        <f aca="false">INDEX(Merchant_Map!$G$5:$G$24,MATCH(B86,Merchant_Map!$A$5:$A$24,0))</f>
        <v>0.4</v>
      </c>
      <c r="I86" s="14" t="n">
        <f aca="false">F86*H86</f>
        <v>1330.348</v>
      </c>
      <c r="J86" s="14" t="n">
        <f aca="false">F86-I86</f>
        <v>1995.522</v>
      </c>
    </row>
    <row r="87" customFormat="false" ht="15" hidden="false" customHeight="false" outlineLevel="0" collapsed="false">
      <c r="A87" s="6" t="s">
        <v>134</v>
      </c>
      <c r="B87" s="6" t="s">
        <v>82</v>
      </c>
      <c r="C87" s="6" t="s">
        <v>70</v>
      </c>
      <c r="D87" s="6" t="s">
        <v>124</v>
      </c>
      <c r="E87" s="12" t="n">
        <v>1442565</v>
      </c>
      <c r="F87" s="13" t="n">
        <v>3173.64</v>
      </c>
      <c r="G87" s="5" t="str">
        <f aca="false">INDEX(Merchant_Map!$E$5:$E$24,MATCH(B87,Merchant_Map!$A$5:$A$24,0))</f>
        <v>Partner Alpha</v>
      </c>
      <c r="H87" s="11" t="n">
        <f aca="false">INDEX(Merchant_Map!$G$5:$G$24,MATCH(B87,Merchant_Map!$A$5:$A$24,0))</f>
        <v>0.4</v>
      </c>
      <c r="I87" s="14" t="n">
        <f aca="false">F87*H87</f>
        <v>1269.456</v>
      </c>
      <c r="J87" s="14" t="n">
        <f aca="false">F87-I87</f>
        <v>1904.184</v>
      </c>
    </row>
    <row r="88" customFormat="false" ht="15" hidden="false" customHeight="false" outlineLevel="0" collapsed="false">
      <c r="A88" s="6" t="s">
        <v>135</v>
      </c>
      <c r="B88" s="6" t="s">
        <v>82</v>
      </c>
      <c r="C88" s="6" t="s">
        <v>70</v>
      </c>
      <c r="D88" s="6" t="s">
        <v>124</v>
      </c>
      <c r="E88" s="12" t="n">
        <v>0</v>
      </c>
      <c r="F88" s="13" t="n">
        <v>0</v>
      </c>
      <c r="G88" s="5" t="str">
        <f aca="false">INDEX(Merchant_Map!$E$5:$E$24,MATCH(B88,Merchant_Map!$A$5:$A$24,0))</f>
        <v>Partner Alpha</v>
      </c>
      <c r="H88" s="11" t="n">
        <f aca="false">INDEX(Merchant_Map!$G$5:$G$24,MATCH(B88,Merchant_Map!$A$5:$A$24,0))</f>
        <v>0.4</v>
      </c>
      <c r="I88" s="14" t="n">
        <f aca="false">F88*H88</f>
        <v>0</v>
      </c>
      <c r="J88" s="14" t="n">
        <f aca="false">F88-I88</f>
        <v>0</v>
      </c>
    </row>
    <row r="89" customFormat="false" ht="15" hidden="false" customHeight="false" outlineLevel="0" collapsed="false">
      <c r="A89" s="6" t="s">
        <v>123</v>
      </c>
      <c r="B89" s="6" t="s">
        <v>84</v>
      </c>
      <c r="C89" s="6" t="s">
        <v>74</v>
      </c>
      <c r="D89" s="6" t="s">
        <v>124</v>
      </c>
      <c r="E89" s="12" t="n">
        <v>1471930</v>
      </c>
      <c r="F89" s="13" t="n">
        <v>5298.95</v>
      </c>
      <c r="G89" s="5" t="str">
        <f aca="false">INDEX(Merchant_Map!$E$5:$E$24,MATCH(B89,Merchant_Map!$A$5:$A$24,0))</f>
        <v>Partner Alpha</v>
      </c>
      <c r="H89" s="11" t="n">
        <f aca="false">INDEX(Merchant_Map!$G$5:$G$24,MATCH(B89,Merchant_Map!$A$5:$A$24,0))</f>
        <v>0.4</v>
      </c>
      <c r="I89" s="14" t="n">
        <f aca="false">F89*H89</f>
        <v>2119.58</v>
      </c>
      <c r="J89" s="14" t="n">
        <f aca="false">F89-I89</f>
        <v>3179.37</v>
      </c>
    </row>
    <row r="90" customFormat="false" ht="15" hidden="false" customHeight="false" outlineLevel="0" collapsed="false">
      <c r="A90" s="6" t="s">
        <v>123</v>
      </c>
      <c r="B90" s="6" t="s">
        <v>84</v>
      </c>
      <c r="C90" s="6" t="s">
        <v>75</v>
      </c>
      <c r="D90" s="6" t="s">
        <v>136</v>
      </c>
      <c r="E90" s="12" t="n">
        <v>0</v>
      </c>
      <c r="F90" s="13" t="n">
        <v>890.85</v>
      </c>
      <c r="G90" s="5" t="str">
        <f aca="false">INDEX(Merchant_Map!$E$5:$E$24,MATCH(B90,Merchant_Map!$A$5:$A$24,0))</f>
        <v>Partner Alpha</v>
      </c>
      <c r="H90" s="11" t="n">
        <f aca="false">INDEX(Merchant_Map!$G$5:$G$24,MATCH(B90,Merchant_Map!$A$5:$A$24,0))</f>
        <v>0.4</v>
      </c>
      <c r="I90" s="14" t="n">
        <f aca="false">F90*H90</f>
        <v>356.34</v>
      </c>
      <c r="J90" s="14" t="n">
        <f aca="false">F90-I90</f>
        <v>534.51</v>
      </c>
    </row>
    <row r="91" customFormat="false" ht="15" hidden="false" customHeight="false" outlineLevel="0" collapsed="false">
      <c r="A91" s="6" t="s">
        <v>125</v>
      </c>
      <c r="B91" s="6" t="s">
        <v>84</v>
      </c>
      <c r="C91" s="6" t="s">
        <v>74</v>
      </c>
      <c r="D91" s="6" t="s">
        <v>124</v>
      </c>
      <c r="E91" s="12" t="n">
        <v>1407275</v>
      </c>
      <c r="F91" s="13" t="n">
        <v>5066.19</v>
      </c>
      <c r="G91" s="5" t="str">
        <f aca="false">INDEX(Merchant_Map!$E$5:$E$24,MATCH(B91,Merchant_Map!$A$5:$A$24,0))</f>
        <v>Partner Alpha</v>
      </c>
      <c r="H91" s="11" t="n">
        <f aca="false">INDEX(Merchant_Map!$G$5:$G$24,MATCH(B91,Merchant_Map!$A$5:$A$24,0))</f>
        <v>0.4</v>
      </c>
      <c r="I91" s="14" t="n">
        <f aca="false">F91*H91</f>
        <v>2026.476</v>
      </c>
      <c r="J91" s="14" t="n">
        <f aca="false">F91-I91</f>
        <v>3039.714</v>
      </c>
    </row>
    <row r="92" customFormat="false" ht="15" hidden="false" customHeight="false" outlineLevel="0" collapsed="false">
      <c r="A92" s="6" t="s">
        <v>125</v>
      </c>
      <c r="B92" s="6" t="s">
        <v>84</v>
      </c>
      <c r="C92" s="6" t="s">
        <v>75</v>
      </c>
      <c r="D92" s="6" t="s">
        <v>136</v>
      </c>
      <c r="E92" s="12" t="n">
        <v>0</v>
      </c>
      <c r="F92" s="13" t="n">
        <v>852.8</v>
      </c>
      <c r="G92" s="5" t="str">
        <f aca="false">INDEX(Merchant_Map!$E$5:$E$24,MATCH(B92,Merchant_Map!$A$5:$A$24,0))</f>
        <v>Partner Alpha</v>
      </c>
      <c r="H92" s="11" t="n">
        <f aca="false">INDEX(Merchant_Map!$G$5:$G$24,MATCH(B92,Merchant_Map!$A$5:$A$24,0))</f>
        <v>0.4</v>
      </c>
      <c r="I92" s="14" t="n">
        <f aca="false">F92*H92</f>
        <v>341.12</v>
      </c>
      <c r="J92" s="14" t="n">
        <f aca="false">F92-I92</f>
        <v>511.68</v>
      </c>
    </row>
    <row r="93" customFormat="false" ht="15" hidden="false" customHeight="false" outlineLevel="0" collapsed="false">
      <c r="A93" s="6" t="s">
        <v>126</v>
      </c>
      <c r="B93" s="6" t="s">
        <v>84</v>
      </c>
      <c r="C93" s="6" t="s">
        <v>74</v>
      </c>
      <c r="D93" s="6" t="s">
        <v>124</v>
      </c>
      <c r="E93" s="12" t="n">
        <v>1352702</v>
      </c>
      <c r="F93" s="13" t="n">
        <v>4869.73</v>
      </c>
      <c r="G93" s="5" t="str">
        <f aca="false">INDEX(Merchant_Map!$E$5:$E$24,MATCH(B93,Merchant_Map!$A$5:$A$24,0))</f>
        <v>Partner Alpha</v>
      </c>
      <c r="H93" s="11" t="n">
        <f aca="false">INDEX(Merchant_Map!$G$5:$G$24,MATCH(B93,Merchant_Map!$A$5:$A$24,0))</f>
        <v>0.4</v>
      </c>
      <c r="I93" s="14" t="n">
        <f aca="false">F93*H93</f>
        <v>1947.892</v>
      </c>
      <c r="J93" s="14" t="n">
        <f aca="false">F93-I93</f>
        <v>2921.838</v>
      </c>
    </row>
    <row r="94" customFormat="false" ht="15" hidden="false" customHeight="false" outlineLevel="0" collapsed="false">
      <c r="A94" s="6" t="s">
        <v>126</v>
      </c>
      <c r="B94" s="6" t="s">
        <v>84</v>
      </c>
      <c r="C94" s="6" t="s">
        <v>75</v>
      </c>
      <c r="D94" s="6" t="s">
        <v>136</v>
      </c>
      <c r="E94" s="12" t="n">
        <v>0</v>
      </c>
      <c r="F94" s="13" t="n">
        <v>820.7</v>
      </c>
      <c r="G94" s="5" t="str">
        <f aca="false">INDEX(Merchant_Map!$E$5:$E$24,MATCH(B94,Merchant_Map!$A$5:$A$24,0))</f>
        <v>Partner Alpha</v>
      </c>
      <c r="H94" s="11" t="n">
        <f aca="false">INDEX(Merchant_Map!$G$5:$G$24,MATCH(B94,Merchant_Map!$A$5:$A$24,0))</f>
        <v>0.4</v>
      </c>
      <c r="I94" s="14" t="n">
        <f aca="false">F94*H94</f>
        <v>328.28</v>
      </c>
      <c r="J94" s="14" t="n">
        <f aca="false">F94-I94</f>
        <v>492.42</v>
      </c>
    </row>
    <row r="95" customFormat="false" ht="15" hidden="false" customHeight="false" outlineLevel="0" collapsed="false">
      <c r="A95" s="6" t="s">
        <v>127</v>
      </c>
      <c r="B95" s="6" t="s">
        <v>84</v>
      </c>
      <c r="C95" s="6" t="s">
        <v>74</v>
      </c>
      <c r="D95" s="6" t="s">
        <v>124</v>
      </c>
      <c r="E95" s="12" t="n">
        <v>1361370</v>
      </c>
      <c r="F95" s="13" t="n">
        <v>4900.93</v>
      </c>
      <c r="G95" s="5" t="str">
        <f aca="false">INDEX(Merchant_Map!$E$5:$E$24,MATCH(B95,Merchant_Map!$A$5:$A$24,0))</f>
        <v>Partner Alpha</v>
      </c>
      <c r="H95" s="11" t="n">
        <f aca="false">INDEX(Merchant_Map!$G$5:$G$24,MATCH(B95,Merchant_Map!$A$5:$A$24,0))</f>
        <v>0.4</v>
      </c>
      <c r="I95" s="14" t="n">
        <f aca="false">F95*H95</f>
        <v>1960.372</v>
      </c>
      <c r="J95" s="14" t="n">
        <f aca="false">F95-I95</f>
        <v>2940.558</v>
      </c>
    </row>
    <row r="96" customFormat="false" ht="15" hidden="false" customHeight="false" outlineLevel="0" collapsed="false">
      <c r="A96" s="6" t="s">
        <v>127</v>
      </c>
      <c r="B96" s="6" t="s">
        <v>84</v>
      </c>
      <c r="C96" s="6" t="s">
        <v>75</v>
      </c>
      <c r="D96" s="6" t="s">
        <v>136</v>
      </c>
      <c r="E96" s="12" t="n">
        <v>0</v>
      </c>
      <c r="F96" s="13" t="n">
        <v>825.8</v>
      </c>
      <c r="G96" s="5" t="str">
        <f aca="false">INDEX(Merchant_Map!$E$5:$E$24,MATCH(B96,Merchant_Map!$A$5:$A$24,0))</f>
        <v>Partner Alpha</v>
      </c>
      <c r="H96" s="11" t="n">
        <f aca="false">INDEX(Merchant_Map!$G$5:$G$24,MATCH(B96,Merchant_Map!$A$5:$A$24,0))</f>
        <v>0.4</v>
      </c>
      <c r="I96" s="14" t="n">
        <f aca="false">F96*H96</f>
        <v>330.32</v>
      </c>
      <c r="J96" s="14" t="n">
        <f aca="false">F96-I96</f>
        <v>495.48</v>
      </c>
    </row>
    <row r="97" customFormat="false" ht="15" hidden="false" customHeight="false" outlineLevel="0" collapsed="false">
      <c r="A97" s="6" t="s">
        <v>128</v>
      </c>
      <c r="B97" s="6" t="s">
        <v>84</v>
      </c>
      <c r="C97" s="6" t="s">
        <v>74</v>
      </c>
      <c r="D97" s="6" t="s">
        <v>124</v>
      </c>
      <c r="E97" s="12" t="n">
        <v>1388638</v>
      </c>
      <c r="F97" s="13" t="n">
        <v>4999.1</v>
      </c>
      <c r="G97" s="5" t="str">
        <f aca="false">INDEX(Merchant_Map!$E$5:$E$24,MATCH(B97,Merchant_Map!$A$5:$A$24,0))</f>
        <v>Partner Alpha</v>
      </c>
      <c r="H97" s="11" t="n">
        <f aca="false">INDEX(Merchant_Map!$G$5:$G$24,MATCH(B97,Merchant_Map!$A$5:$A$24,0))</f>
        <v>0.4</v>
      </c>
      <c r="I97" s="14" t="n">
        <f aca="false">F97*H97</f>
        <v>1999.64</v>
      </c>
      <c r="J97" s="14" t="n">
        <f aca="false">F97-I97</f>
        <v>2999.46</v>
      </c>
    </row>
    <row r="98" customFormat="false" ht="15" hidden="false" customHeight="false" outlineLevel="0" collapsed="false">
      <c r="A98" s="6" t="s">
        <v>128</v>
      </c>
      <c r="B98" s="6" t="s">
        <v>84</v>
      </c>
      <c r="C98" s="6" t="s">
        <v>75</v>
      </c>
      <c r="D98" s="6" t="s">
        <v>136</v>
      </c>
      <c r="E98" s="12" t="n">
        <v>0</v>
      </c>
      <c r="F98" s="13" t="n">
        <v>841.85</v>
      </c>
      <c r="G98" s="5" t="str">
        <f aca="false">INDEX(Merchant_Map!$E$5:$E$24,MATCH(B98,Merchant_Map!$A$5:$A$24,0))</f>
        <v>Partner Alpha</v>
      </c>
      <c r="H98" s="11" t="n">
        <f aca="false">INDEX(Merchant_Map!$G$5:$G$24,MATCH(B98,Merchant_Map!$A$5:$A$24,0))</f>
        <v>0.4</v>
      </c>
      <c r="I98" s="14" t="n">
        <f aca="false">F98*H98</f>
        <v>336.74</v>
      </c>
      <c r="J98" s="14" t="n">
        <f aca="false">F98-I98</f>
        <v>505.11</v>
      </c>
    </row>
    <row r="99" customFormat="false" ht="15" hidden="false" customHeight="false" outlineLevel="0" collapsed="false">
      <c r="A99" s="6" t="s">
        <v>129</v>
      </c>
      <c r="B99" s="6" t="s">
        <v>84</v>
      </c>
      <c r="C99" s="6" t="s">
        <v>74</v>
      </c>
      <c r="D99" s="6" t="s">
        <v>124</v>
      </c>
      <c r="E99" s="12" t="n">
        <v>1496913</v>
      </c>
      <c r="F99" s="13" t="n">
        <v>5388.89</v>
      </c>
      <c r="G99" s="5" t="str">
        <f aca="false">INDEX(Merchant_Map!$E$5:$E$24,MATCH(B99,Merchant_Map!$A$5:$A$24,0))</f>
        <v>Partner Alpha</v>
      </c>
      <c r="H99" s="11" t="n">
        <f aca="false">INDEX(Merchant_Map!$G$5:$G$24,MATCH(B99,Merchant_Map!$A$5:$A$24,0))</f>
        <v>0.4</v>
      </c>
      <c r="I99" s="14" t="n">
        <f aca="false">F99*H99</f>
        <v>2155.556</v>
      </c>
      <c r="J99" s="14" t="n">
        <f aca="false">F99-I99</f>
        <v>3233.334</v>
      </c>
    </row>
    <row r="100" customFormat="false" ht="15" hidden="false" customHeight="false" outlineLevel="0" collapsed="false">
      <c r="A100" s="6" t="s">
        <v>129</v>
      </c>
      <c r="B100" s="6" t="s">
        <v>84</v>
      </c>
      <c r="C100" s="6" t="s">
        <v>75</v>
      </c>
      <c r="D100" s="6" t="s">
        <v>136</v>
      </c>
      <c r="E100" s="12" t="n">
        <v>0</v>
      </c>
      <c r="F100" s="13" t="n">
        <v>905.55</v>
      </c>
      <c r="G100" s="5" t="str">
        <f aca="false">INDEX(Merchant_Map!$E$5:$E$24,MATCH(B100,Merchant_Map!$A$5:$A$24,0))</f>
        <v>Partner Alpha</v>
      </c>
      <c r="H100" s="11" t="n">
        <f aca="false">INDEX(Merchant_Map!$G$5:$G$24,MATCH(B100,Merchant_Map!$A$5:$A$24,0))</f>
        <v>0.4</v>
      </c>
      <c r="I100" s="14" t="n">
        <f aca="false">F100*H100</f>
        <v>362.22</v>
      </c>
      <c r="J100" s="14" t="n">
        <f aca="false">F100-I100</f>
        <v>543.33</v>
      </c>
    </row>
    <row r="101" customFormat="false" ht="15" hidden="false" customHeight="false" outlineLevel="0" collapsed="false">
      <c r="A101" s="6" t="s">
        <v>130</v>
      </c>
      <c r="B101" s="6" t="s">
        <v>84</v>
      </c>
      <c r="C101" s="6" t="s">
        <v>74</v>
      </c>
      <c r="D101" s="6" t="s">
        <v>124</v>
      </c>
      <c r="E101" s="12" t="n">
        <v>1544353</v>
      </c>
      <c r="F101" s="13" t="n">
        <v>5559.67</v>
      </c>
      <c r="G101" s="5" t="str">
        <f aca="false">INDEX(Merchant_Map!$E$5:$E$24,MATCH(B101,Merchant_Map!$A$5:$A$24,0))</f>
        <v>Partner Alpha</v>
      </c>
      <c r="H101" s="11" t="n">
        <f aca="false">INDEX(Merchant_Map!$G$5:$G$24,MATCH(B101,Merchant_Map!$A$5:$A$24,0))</f>
        <v>0.4</v>
      </c>
      <c r="I101" s="14" t="n">
        <f aca="false">F101*H101</f>
        <v>2223.868</v>
      </c>
      <c r="J101" s="14" t="n">
        <f aca="false">F101-I101</f>
        <v>3335.802</v>
      </c>
    </row>
    <row r="102" customFormat="false" ht="15" hidden="false" customHeight="false" outlineLevel="0" collapsed="false">
      <c r="A102" s="6" t="s">
        <v>130</v>
      </c>
      <c r="B102" s="6" t="s">
        <v>84</v>
      </c>
      <c r="C102" s="6" t="s">
        <v>75</v>
      </c>
      <c r="D102" s="6" t="s">
        <v>136</v>
      </c>
      <c r="E102" s="12" t="n">
        <v>0</v>
      </c>
      <c r="F102" s="13" t="n">
        <v>933.45</v>
      </c>
      <c r="G102" s="5" t="str">
        <f aca="false">INDEX(Merchant_Map!$E$5:$E$24,MATCH(B102,Merchant_Map!$A$5:$A$24,0))</f>
        <v>Partner Alpha</v>
      </c>
      <c r="H102" s="11" t="n">
        <f aca="false">INDEX(Merchant_Map!$G$5:$G$24,MATCH(B102,Merchant_Map!$A$5:$A$24,0))</f>
        <v>0.4</v>
      </c>
      <c r="I102" s="14" t="n">
        <f aca="false">F102*H102</f>
        <v>373.38</v>
      </c>
      <c r="J102" s="14" t="n">
        <f aca="false">F102-I102</f>
        <v>560.07</v>
      </c>
    </row>
    <row r="103" customFormat="false" ht="15" hidden="false" customHeight="false" outlineLevel="0" collapsed="false">
      <c r="A103" s="6" t="s">
        <v>131</v>
      </c>
      <c r="B103" s="6" t="s">
        <v>84</v>
      </c>
      <c r="C103" s="6" t="s">
        <v>74</v>
      </c>
      <c r="D103" s="6" t="s">
        <v>124</v>
      </c>
      <c r="E103" s="12" t="n">
        <v>1495857</v>
      </c>
      <c r="F103" s="13" t="n">
        <v>5385.09</v>
      </c>
      <c r="G103" s="5" t="str">
        <f aca="false">INDEX(Merchant_Map!$E$5:$E$24,MATCH(B103,Merchant_Map!$A$5:$A$24,0))</f>
        <v>Partner Alpha</v>
      </c>
      <c r="H103" s="11" t="n">
        <f aca="false">INDEX(Merchant_Map!$G$5:$G$24,MATCH(B103,Merchant_Map!$A$5:$A$24,0))</f>
        <v>0.4</v>
      </c>
      <c r="I103" s="14" t="n">
        <f aca="false">F103*H103</f>
        <v>2154.036</v>
      </c>
      <c r="J103" s="14" t="n">
        <f aca="false">F103-I103</f>
        <v>3231.054</v>
      </c>
    </row>
    <row r="104" customFormat="false" ht="15" hidden="false" customHeight="false" outlineLevel="0" collapsed="false">
      <c r="A104" s="6" t="s">
        <v>131</v>
      </c>
      <c r="B104" s="6" t="s">
        <v>84</v>
      </c>
      <c r="C104" s="6" t="s">
        <v>75</v>
      </c>
      <c r="D104" s="6" t="s">
        <v>136</v>
      </c>
      <c r="E104" s="12" t="n">
        <v>0</v>
      </c>
      <c r="F104" s="13" t="n">
        <v>904.9</v>
      </c>
      <c r="G104" s="5" t="str">
        <f aca="false">INDEX(Merchant_Map!$E$5:$E$24,MATCH(B104,Merchant_Map!$A$5:$A$24,0))</f>
        <v>Partner Alpha</v>
      </c>
      <c r="H104" s="11" t="n">
        <f aca="false">INDEX(Merchant_Map!$G$5:$G$24,MATCH(B104,Merchant_Map!$A$5:$A$24,0))</f>
        <v>0.4</v>
      </c>
      <c r="I104" s="14" t="n">
        <f aca="false">F104*H104</f>
        <v>361.96</v>
      </c>
      <c r="J104" s="14" t="n">
        <f aca="false">F104-I104</f>
        <v>542.94</v>
      </c>
    </row>
    <row r="105" customFormat="false" ht="15" hidden="false" customHeight="false" outlineLevel="0" collapsed="false">
      <c r="A105" s="6" t="s">
        <v>132</v>
      </c>
      <c r="B105" s="6" t="s">
        <v>84</v>
      </c>
      <c r="C105" s="6" t="s">
        <v>74</v>
      </c>
      <c r="D105" s="6" t="s">
        <v>124</v>
      </c>
      <c r="E105" s="12" t="n">
        <v>1448045</v>
      </c>
      <c r="F105" s="13" t="n">
        <v>5212.96</v>
      </c>
      <c r="G105" s="5" t="str">
        <f aca="false">INDEX(Merchant_Map!$E$5:$E$24,MATCH(B105,Merchant_Map!$A$5:$A$24,0))</f>
        <v>Partner Alpha</v>
      </c>
      <c r="H105" s="11" t="n">
        <f aca="false">INDEX(Merchant_Map!$G$5:$G$24,MATCH(B105,Merchant_Map!$A$5:$A$24,0))</f>
        <v>0.4</v>
      </c>
      <c r="I105" s="14" t="n">
        <f aca="false">F105*H105</f>
        <v>2085.184</v>
      </c>
      <c r="J105" s="14" t="n">
        <f aca="false">F105-I105</f>
        <v>3127.776</v>
      </c>
    </row>
    <row r="106" customFormat="false" ht="15" hidden="false" customHeight="false" outlineLevel="0" collapsed="false">
      <c r="A106" s="6" t="s">
        <v>132</v>
      </c>
      <c r="B106" s="6" t="s">
        <v>84</v>
      </c>
      <c r="C106" s="6" t="s">
        <v>75</v>
      </c>
      <c r="D106" s="6" t="s">
        <v>136</v>
      </c>
      <c r="E106" s="12" t="n">
        <v>0</v>
      </c>
      <c r="F106" s="13" t="n">
        <v>876.8</v>
      </c>
      <c r="G106" s="5" t="str">
        <f aca="false">INDEX(Merchant_Map!$E$5:$E$24,MATCH(B106,Merchant_Map!$A$5:$A$24,0))</f>
        <v>Partner Alpha</v>
      </c>
      <c r="H106" s="11" t="n">
        <f aca="false">INDEX(Merchant_Map!$G$5:$G$24,MATCH(B106,Merchant_Map!$A$5:$A$24,0))</f>
        <v>0.4</v>
      </c>
      <c r="I106" s="14" t="n">
        <f aca="false">F106*H106</f>
        <v>350.72</v>
      </c>
      <c r="J106" s="14" t="n">
        <f aca="false">F106-I106</f>
        <v>526.08</v>
      </c>
    </row>
    <row r="107" customFormat="false" ht="15" hidden="false" customHeight="false" outlineLevel="0" collapsed="false">
      <c r="A107" s="6" t="s">
        <v>133</v>
      </c>
      <c r="B107" s="6" t="s">
        <v>84</v>
      </c>
      <c r="C107" s="6" t="s">
        <v>74</v>
      </c>
      <c r="D107" s="6" t="s">
        <v>124</v>
      </c>
      <c r="E107" s="12" t="n">
        <v>1524450</v>
      </c>
      <c r="F107" s="13" t="n">
        <v>5488.02</v>
      </c>
      <c r="G107" s="5" t="str">
        <f aca="false">INDEX(Merchant_Map!$E$5:$E$24,MATCH(B107,Merchant_Map!$A$5:$A$24,0))</f>
        <v>Partner Alpha</v>
      </c>
      <c r="H107" s="11" t="n">
        <f aca="false">INDEX(Merchant_Map!$G$5:$G$24,MATCH(B107,Merchant_Map!$A$5:$A$24,0))</f>
        <v>0.4</v>
      </c>
      <c r="I107" s="14" t="n">
        <f aca="false">F107*H107</f>
        <v>2195.208</v>
      </c>
      <c r="J107" s="14" t="n">
        <f aca="false">F107-I107</f>
        <v>3292.812</v>
      </c>
    </row>
    <row r="108" customFormat="false" ht="15" hidden="false" customHeight="false" outlineLevel="0" collapsed="false">
      <c r="A108" s="6" t="s">
        <v>133</v>
      </c>
      <c r="B108" s="6" t="s">
        <v>84</v>
      </c>
      <c r="C108" s="6" t="s">
        <v>75</v>
      </c>
      <c r="D108" s="6" t="s">
        <v>136</v>
      </c>
      <c r="E108" s="12" t="n">
        <v>0</v>
      </c>
      <c r="F108" s="13" t="n">
        <v>921.75</v>
      </c>
      <c r="G108" s="5" t="str">
        <f aca="false">INDEX(Merchant_Map!$E$5:$E$24,MATCH(B108,Merchant_Map!$A$5:$A$24,0))</f>
        <v>Partner Alpha</v>
      </c>
      <c r="H108" s="11" t="n">
        <f aca="false">INDEX(Merchant_Map!$G$5:$G$24,MATCH(B108,Merchant_Map!$A$5:$A$24,0))</f>
        <v>0.4</v>
      </c>
      <c r="I108" s="14" t="n">
        <f aca="false">F108*H108</f>
        <v>368.7</v>
      </c>
      <c r="J108" s="14" t="n">
        <f aca="false">F108-I108</f>
        <v>553.05</v>
      </c>
    </row>
    <row r="109" customFormat="false" ht="15" hidden="false" customHeight="false" outlineLevel="0" collapsed="false">
      <c r="A109" s="6" t="s">
        <v>134</v>
      </c>
      <c r="B109" s="6" t="s">
        <v>84</v>
      </c>
      <c r="C109" s="6" t="s">
        <v>74</v>
      </c>
      <c r="D109" s="6" t="s">
        <v>124</v>
      </c>
      <c r="E109" s="12" t="n">
        <v>1658145</v>
      </c>
      <c r="F109" s="13" t="n">
        <v>5969.32</v>
      </c>
      <c r="G109" s="5" t="str">
        <f aca="false">INDEX(Merchant_Map!$E$5:$E$24,MATCH(B109,Merchant_Map!$A$5:$A$24,0))</f>
        <v>Partner Alpha</v>
      </c>
      <c r="H109" s="11" t="n">
        <f aca="false">INDEX(Merchant_Map!$G$5:$G$24,MATCH(B109,Merchant_Map!$A$5:$A$24,0))</f>
        <v>0.4</v>
      </c>
      <c r="I109" s="14" t="n">
        <f aca="false">F109*H109</f>
        <v>2387.728</v>
      </c>
      <c r="J109" s="14" t="n">
        <f aca="false">F109-I109</f>
        <v>3581.592</v>
      </c>
    </row>
    <row r="110" customFormat="false" ht="15" hidden="false" customHeight="false" outlineLevel="0" collapsed="false">
      <c r="A110" s="6" t="s">
        <v>134</v>
      </c>
      <c r="B110" s="6" t="s">
        <v>84</v>
      </c>
      <c r="C110" s="6" t="s">
        <v>75</v>
      </c>
      <c r="D110" s="6" t="s">
        <v>136</v>
      </c>
      <c r="E110" s="12" t="n">
        <v>0</v>
      </c>
      <c r="F110" s="13" t="n">
        <v>1000.4</v>
      </c>
      <c r="G110" s="5" t="str">
        <f aca="false">INDEX(Merchant_Map!$E$5:$E$24,MATCH(B110,Merchant_Map!$A$5:$A$24,0))</f>
        <v>Partner Alpha</v>
      </c>
      <c r="H110" s="11" t="n">
        <f aca="false">INDEX(Merchant_Map!$G$5:$G$24,MATCH(B110,Merchant_Map!$A$5:$A$24,0))</f>
        <v>0.4</v>
      </c>
      <c r="I110" s="14" t="n">
        <f aca="false">F110*H110</f>
        <v>400.16</v>
      </c>
      <c r="J110" s="14" t="n">
        <f aca="false">F110-I110</f>
        <v>600.24</v>
      </c>
    </row>
    <row r="111" customFormat="false" ht="15" hidden="false" customHeight="false" outlineLevel="0" collapsed="false">
      <c r="A111" s="6" t="s">
        <v>135</v>
      </c>
      <c r="B111" s="6" t="s">
        <v>84</v>
      </c>
      <c r="C111" s="6" t="s">
        <v>74</v>
      </c>
      <c r="D111" s="6" t="s">
        <v>124</v>
      </c>
      <c r="E111" s="12" t="n">
        <v>1589288</v>
      </c>
      <c r="F111" s="13" t="n">
        <v>5721.44</v>
      </c>
      <c r="G111" s="5" t="str">
        <f aca="false">INDEX(Merchant_Map!$E$5:$E$24,MATCH(B111,Merchant_Map!$A$5:$A$24,0))</f>
        <v>Partner Alpha</v>
      </c>
      <c r="H111" s="11" t="n">
        <f aca="false">INDEX(Merchant_Map!$G$5:$G$24,MATCH(B111,Merchant_Map!$A$5:$A$24,0))</f>
        <v>0.4</v>
      </c>
      <c r="I111" s="14" t="n">
        <f aca="false">F111*H111</f>
        <v>2288.576</v>
      </c>
      <c r="J111" s="14" t="n">
        <f aca="false">F111-I111</f>
        <v>3432.864</v>
      </c>
    </row>
    <row r="112" customFormat="false" ht="15" hidden="false" customHeight="false" outlineLevel="0" collapsed="false">
      <c r="A112" s="6" t="s">
        <v>135</v>
      </c>
      <c r="B112" s="6" t="s">
        <v>84</v>
      </c>
      <c r="C112" s="6" t="s">
        <v>75</v>
      </c>
      <c r="D112" s="6" t="s">
        <v>136</v>
      </c>
      <c r="E112" s="12" t="n">
        <v>0</v>
      </c>
      <c r="F112" s="13" t="n">
        <v>959.9</v>
      </c>
      <c r="G112" s="5" t="str">
        <f aca="false">INDEX(Merchant_Map!$E$5:$E$24,MATCH(B112,Merchant_Map!$A$5:$A$24,0))</f>
        <v>Partner Alpha</v>
      </c>
      <c r="H112" s="11" t="n">
        <f aca="false">INDEX(Merchant_Map!$G$5:$G$24,MATCH(B112,Merchant_Map!$A$5:$A$24,0))</f>
        <v>0.4</v>
      </c>
      <c r="I112" s="14" t="n">
        <f aca="false">F112*H112</f>
        <v>383.96</v>
      </c>
      <c r="J112" s="14" t="n">
        <f aca="false">F112-I112</f>
        <v>575.94</v>
      </c>
    </row>
    <row r="113" customFormat="false" ht="15" hidden="false" customHeight="false" outlineLevel="0" collapsed="false">
      <c r="A113" s="6" t="s">
        <v>123</v>
      </c>
      <c r="B113" s="6" t="s">
        <v>86</v>
      </c>
      <c r="C113" s="6" t="s">
        <v>78</v>
      </c>
      <c r="D113" s="6" t="s">
        <v>124</v>
      </c>
      <c r="E113" s="12" t="n">
        <v>258850</v>
      </c>
      <c r="F113" s="13" t="n">
        <v>569.47</v>
      </c>
      <c r="G113" s="5" t="str">
        <f aca="false">INDEX(Merchant_Map!$E$5:$E$24,MATCH(B113,Merchant_Map!$A$5:$A$24,0))</f>
        <v>Partner Beta</v>
      </c>
      <c r="H113" s="11" t="n">
        <f aca="false">INDEX(Merchant_Map!$G$5:$G$24,MATCH(B113,Merchant_Map!$A$5:$A$24,0))</f>
        <v>0.45</v>
      </c>
      <c r="I113" s="14" t="n">
        <f aca="false">F113*H113</f>
        <v>256.2615</v>
      </c>
      <c r="J113" s="14" t="n">
        <f aca="false">F113-I113</f>
        <v>313.2085</v>
      </c>
    </row>
    <row r="114" customFormat="false" ht="15" hidden="false" customHeight="false" outlineLevel="0" collapsed="false">
      <c r="A114" s="6" t="s">
        <v>125</v>
      </c>
      <c r="B114" s="6" t="s">
        <v>86</v>
      </c>
      <c r="C114" s="6" t="s">
        <v>78</v>
      </c>
      <c r="D114" s="6" t="s">
        <v>124</v>
      </c>
      <c r="E114" s="12" t="n">
        <v>258674</v>
      </c>
      <c r="F114" s="13" t="n">
        <v>569.08</v>
      </c>
      <c r="G114" s="5" t="str">
        <f aca="false">INDEX(Merchant_Map!$E$5:$E$24,MATCH(B114,Merchant_Map!$A$5:$A$24,0))</f>
        <v>Partner Beta</v>
      </c>
      <c r="H114" s="11" t="n">
        <f aca="false">INDEX(Merchant_Map!$G$5:$G$24,MATCH(B114,Merchant_Map!$A$5:$A$24,0))</f>
        <v>0.45</v>
      </c>
      <c r="I114" s="14" t="n">
        <f aca="false">F114*H114</f>
        <v>256.086</v>
      </c>
      <c r="J114" s="14" t="n">
        <f aca="false">F114-I114</f>
        <v>312.994</v>
      </c>
    </row>
    <row r="115" customFormat="false" ht="15" hidden="false" customHeight="false" outlineLevel="0" collapsed="false">
      <c r="A115" s="6" t="s">
        <v>126</v>
      </c>
      <c r="B115" s="6" t="s">
        <v>86</v>
      </c>
      <c r="C115" s="6" t="s">
        <v>78</v>
      </c>
      <c r="D115" s="6" t="s">
        <v>124</v>
      </c>
      <c r="E115" s="12" t="n">
        <v>236206</v>
      </c>
      <c r="F115" s="13" t="n">
        <v>519.65</v>
      </c>
      <c r="G115" s="5" t="str">
        <f aca="false">INDEX(Merchant_Map!$E$5:$E$24,MATCH(B115,Merchant_Map!$A$5:$A$24,0))</f>
        <v>Partner Beta</v>
      </c>
      <c r="H115" s="11" t="n">
        <f aca="false">INDEX(Merchant_Map!$G$5:$G$24,MATCH(B115,Merchant_Map!$A$5:$A$24,0))</f>
        <v>0.45</v>
      </c>
      <c r="I115" s="14" t="n">
        <f aca="false">F115*H115</f>
        <v>233.8425</v>
      </c>
      <c r="J115" s="14" t="n">
        <f aca="false">F115-I115</f>
        <v>285.8075</v>
      </c>
    </row>
    <row r="116" customFormat="false" ht="15" hidden="false" customHeight="false" outlineLevel="0" collapsed="false">
      <c r="A116" s="6" t="s">
        <v>127</v>
      </c>
      <c r="B116" s="6" t="s">
        <v>86</v>
      </c>
      <c r="C116" s="6" t="s">
        <v>78</v>
      </c>
      <c r="D116" s="6" t="s">
        <v>124</v>
      </c>
      <c r="E116" s="12" t="n">
        <v>260652</v>
      </c>
      <c r="F116" s="13" t="n">
        <v>573.43</v>
      </c>
      <c r="G116" s="5" t="str">
        <f aca="false">INDEX(Merchant_Map!$E$5:$E$24,MATCH(B116,Merchant_Map!$A$5:$A$24,0))</f>
        <v>Partner Beta</v>
      </c>
      <c r="H116" s="11" t="n">
        <f aca="false">INDEX(Merchant_Map!$G$5:$G$24,MATCH(B116,Merchant_Map!$A$5:$A$24,0))</f>
        <v>0.45</v>
      </c>
      <c r="I116" s="14" t="n">
        <f aca="false">F116*H116</f>
        <v>258.0435</v>
      </c>
      <c r="J116" s="14" t="n">
        <f aca="false">F116-I116</f>
        <v>315.3865</v>
      </c>
    </row>
    <row r="117" customFormat="false" ht="15" hidden="false" customHeight="false" outlineLevel="0" collapsed="false">
      <c r="A117" s="6" t="s">
        <v>128</v>
      </c>
      <c r="B117" s="6" t="s">
        <v>86</v>
      </c>
      <c r="C117" s="6" t="s">
        <v>78</v>
      </c>
      <c r="D117" s="6" t="s">
        <v>124</v>
      </c>
      <c r="E117" s="12" t="n">
        <v>262577</v>
      </c>
      <c r="F117" s="13" t="n">
        <v>577.67</v>
      </c>
      <c r="G117" s="5" t="str">
        <f aca="false">INDEX(Merchant_Map!$E$5:$E$24,MATCH(B117,Merchant_Map!$A$5:$A$24,0))</f>
        <v>Partner Beta</v>
      </c>
      <c r="H117" s="11" t="n">
        <f aca="false">INDEX(Merchant_Map!$G$5:$G$24,MATCH(B117,Merchant_Map!$A$5:$A$24,0))</f>
        <v>0.45</v>
      </c>
      <c r="I117" s="14" t="n">
        <f aca="false">F117*H117</f>
        <v>259.9515</v>
      </c>
      <c r="J117" s="14" t="n">
        <f aca="false">F117-I117</f>
        <v>317.7185</v>
      </c>
    </row>
    <row r="118" customFormat="false" ht="15" hidden="false" customHeight="false" outlineLevel="0" collapsed="false">
      <c r="A118" s="6" t="s">
        <v>129</v>
      </c>
      <c r="B118" s="6" t="s">
        <v>86</v>
      </c>
      <c r="C118" s="6" t="s">
        <v>78</v>
      </c>
      <c r="D118" s="6" t="s">
        <v>124</v>
      </c>
      <c r="E118" s="12" t="n">
        <v>261211</v>
      </c>
      <c r="F118" s="13" t="n">
        <v>574.66</v>
      </c>
      <c r="G118" s="5" t="str">
        <f aca="false">INDEX(Merchant_Map!$E$5:$E$24,MATCH(B118,Merchant_Map!$A$5:$A$24,0))</f>
        <v>Partner Beta</v>
      </c>
      <c r="H118" s="11" t="n">
        <f aca="false">INDEX(Merchant_Map!$G$5:$G$24,MATCH(B118,Merchant_Map!$A$5:$A$24,0))</f>
        <v>0.45</v>
      </c>
      <c r="I118" s="14" t="n">
        <f aca="false">F118*H118</f>
        <v>258.597</v>
      </c>
      <c r="J118" s="14" t="n">
        <f aca="false">F118-I118</f>
        <v>316.063</v>
      </c>
    </row>
    <row r="119" customFormat="false" ht="15" hidden="false" customHeight="false" outlineLevel="0" collapsed="false">
      <c r="A119" s="6" t="s">
        <v>130</v>
      </c>
      <c r="B119" s="6" t="s">
        <v>86</v>
      </c>
      <c r="C119" s="6" t="s">
        <v>78</v>
      </c>
      <c r="D119" s="6" t="s">
        <v>124</v>
      </c>
      <c r="E119" s="12" t="n">
        <v>255814</v>
      </c>
      <c r="F119" s="13" t="n">
        <v>562.79</v>
      </c>
      <c r="G119" s="5" t="str">
        <f aca="false">INDEX(Merchant_Map!$E$5:$E$24,MATCH(B119,Merchant_Map!$A$5:$A$24,0))</f>
        <v>Partner Beta</v>
      </c>
      <c r="H119" s="11" t="n">
        <f aca="false">INDEX(Merchant_Map!$G$5:$G$24,MATCH(B119,Merchant_Map!$A$5:$A$24,0))</f>
        <v>0.45</v>
      </c>
      <c r="I119" s="14" t="n">
        <f aca="false">F119*H119</f>
        <v>253.2555</v>
      </c>
      <c r="J119" s="14" t="n">
        <f aca="false">F119-I119</f>
        <v>309.5345</v>
      </c>
    </row>
    <row r="120" customFormat="false" ht="15" hidden="false" customHeight="false" outlineLevel="0" collapsed="false">
      <c r="A120" s="6" t="s">
        <v>131</v>
      </c>
      <c r="B120" s="6" t="s">
        <v>86</v>
      </c>
      <c r="C120" s="6" t="s">
        <v>78</v>
      </c>
      <c r="D120" s="6" t="s">
        <v>124</v>
      </c>
      <c r="E120" s="12" t="n">
        <v>270841</v>
      </c>
      <c r="F120" s="13" t="n">
        <v>595.85</v>
      </c>
      <c r="G120" s="5" t="str">
        <f aca="false">INDEX(Merchant_Map!$E$5:$E$24,MATCH(B120,Merchant_Map!$A$5:$A$24,0))</f>
        <v>Partner Beta</v>
      </c>
      <c r="H120" s="11" t="n">
        <f aca="false">INDEX(Merchant_Map!$G$5:$G$24,MATCH(B120,Merchant_Map!$A$5:$A$24,0))</f>
        <v>0.45</v>
      </c>
      <c r="I120" s="14" t="n">
        <f aca="false">F120*H120</f>
        <v>268.1325</v>
      </c>
      <c r="J120" s="14" t="n">
        <f aca="false">F120-I120</f>
        <v>327.7175</v>
      </c>
    </row>
    <row r="121" customFormat="false" ht="15" hidden="false" customHeight="false" outlineLevel="0" collapsed="false">
      <c r="A121" s="6" t="s">
        <v>132</v>
      </c>
      <c r="B121" s="6" t="s">
        <v>86</v>
      </c>
      <c r="C121" s="6" t="s">
        <v>78</v>
      </c>
      <c r="D121" s="6" t="s">
        <v>124</v>
      </c>
      <c r="E121" s="12" t="n">
        <v>256968</v>
      </c>
      <c r="F121" s="13" t="n">
        <v>565.33</v>
      </c>
      <c r="G121" s="5" t="str">
        <f aca="false">INDEX(Merchant_Map!$E$5:$E$24,MATCH(B121,Merchant_Map!$A$5:$A$24,0))</f>
        <v>Partner Beta</v>
      </c>
      <c r="H121" s="11" t="n">
        <f aca="false">INDEX(Merchant_Map!$G$5:$G$24,MATCH(B121,Merchant_Map!$A$5:$A$24,0))</f>
        <v>0.45</v>
      </c>
      <c r="I121" s="14" t="n">
        <f aca="false">F121*H121</f>
        <v>254.3985</v>
      </c>
      <c r="J121" s="14" t="n">
        <f aca="false">F121-I121</f>
        <v>310.9315</v>
      </c>
    </row>
    <row r="122" customFormat="false" ht="15" hidden="false" customHeight="false" outlineLevel="0" collapsed="false">
      <c r="A122" s="6" t="s">
        <v>133</v>
      </c>
      <c r="B122" s="6" t="s">
        <v>86</v>
      </c>
      <c r="C122" s="6" t="s">
        <v>78</v>
      </c>
      <c r="D122" s="6" t="s">
        <v>124</v>
      </c>
      <c r="E122" s="12" t="n">
        <v>270631</v>
      </c>
      <c r="F122" s="13" t="n">
        <v>595.39</v>
      </c>
      <c r="G122" s="5" t="str">
        <f aca="false">INDEX(Merchant_Map!$E$5:$E$24,MATCH(B122,Merchant_Map!$A$5:$A$24,0))</f>
        <v>Partner Beta</v>
      </c>
      <c r="H122" s="11" t="n">
        <f aca="false">INDEX(Merchant_Map!$G$5:$G$24,MATCH(B122,Merchant_Map!$A$5:$A$24,0))</f>
        <v>0.45</v>
      </c>
      <c r="I122" s="14" t="n">
        <f aca="false">F122*H122</f>
        <v>267.9255</v>
      </c>
      <c r="J122" s="14" t="n">
        <f aca="false">F122-I122</f>
        <v>327.4645</v>
      </c>
    </row>
    <row r="123" customFormat="false" ht="15" hidden="false" customHeight="false" outlineLevel="0" collapsed="false">
      <c r="A123" s="6" t="s">
        <v>134</v>
      </c>
      <c r="B123" s="6" t="s">
        <v>86</v>
      </c>
      <c r="C123" s="6" t="s">
        <v>78</v>
      </c>
      <c r="D123" s="6" t="s">
        <v>124</v>
      </c>
      <c r="E123" s="12" t="n">
        <v>274507</v>
      </c>
      <c r="F123" s="13" t="n">
        <v>603.92</v>
      </c>
      <c r="G123" s="5" t="str">
        <f aca="false">INDEX(Merchant_Map!$E$5:$E$24,MATCH(B123,Merchant_Map!$A$5:$A$24,0))</f>
        <v>Partner Beta</v>
      </c>
      <c r="H123" s="11" t="n">
        <f aca="false">INDEX(Merchant_Map!$G$5:$G$24,MATCH(B123,Merchant_Map!$A$5:$A$24,0))</f>
        <v>0.45</v>
      </c>
      <c r="I123" s="14" t="n">
        <f aca="false">F123*H123</f>
        <v>271.764</v>
      </c>
      <c r="J123" s="14" t="n">
        <f aca="false">F123-I123</f>
        <v>332.156</v>
      </c>
    </row>
    <row r="124" customFormat="false" ht="15" hidden="false" customHeight="false" outlineLevel="0" collapsed="false">
      <c r="A124" s="6" t="s">
        <v>135</v>
      </c>
      <c r="B124" s="6" t="s">
        <v>86</v>
      </c>
      <c r="C124" s="6" t="s">
        <v>78</v>
      </c>
      <c r="D124" s="6" t="s">
        <v>124</v>
      </c>
      <c r="E124" s="12" t="n">
        <v>294565</v>
      </c>
      <c r="F124" s="13" t="n">
        <v>648.04</v>
      </c>
      <c r="G124" s="5" t="str">
        <f aca="false">INDEX(Merchant_Map!$E$5:$E$24,MATCH(B124,Merchant_Map!$A$5:$A$24,0))</f>
        <v>Partner Beta</v>
      </c>
      <c r="H124" s="11" t="n">
        <f aca="false">INDEX(Merchant_Map!$G$5:$G$24,MATCH(B124,Merchant_Map!$A$5:$A$24,0))</f>
        <v>0.45</v>
      </c>
      <c r="I124" s="14" t="n">
        <f aca="false">F124*H124</f>
        <v>291.618</v>
      </c>
      <c r="J124" s="14" t="n">
        <f aca="false">F124-I124</f>
        <v>356.422</v>
      </c>
    </row>
    <row r="125" customFormat="false" ht="15" hidden="false" customHeight="false" outlineLevel="0" collapsed="false">
      <c r="A125" s="6" t="s">
        <v>123</v>
      </c>
      <c r="B125" s="6" t="s">
        <v>88</v>
      </c>
      <c r="C125" s="6" t="s">
        <v>81</v>
      </c>
      <c r="D125" s="6" t="s">
        <v>124</v>
      </c>
      <c r="E125" s="12" t="n">
        <v>387733</v>
      </c>
      <c r="F125" s="13" t="n">
        <v>1085.65</v>
      </c>
      <c r="G125" s="5" t="str">
        <f aca="false">INDEX(Merchant_Map!$E$5:$E$24,MATCH(B125,Merchant_Map!$A$5:$A$24,0))</f>
        <v>House (Direct)</v>
      </c>
      <c r="H125" s="11" t="n">
        <f aca="false">INDEX(Merchant_Map!$G$5:$G$24,MATCH(B125,Merchant_Map!$A$5:$A$24,0))</f>
        <v>0</v>
      </c>
      <c r="I125" s="14" t="n">
        <f aca="false">F125*H125</f>
        <v>0</v>
      </c>
      <c r="J125" s="14" t="n">
        <f aca="false">F125-I125</f>
        <v>1085.65</v>
      </c>
    </row>
    <row r="126" customFormat="false" ht="15" hidden="false" customHeight="false" outlineLevel="0" collapsed="false">
      <c r="A126" s="6" t="s">
        <v>123</v>
      </c>
      <c r="B126" s="6" t="s">
        <v>88</v>
      </c>
      <c r="C126" s="6" t="s">
        <v>75</v>
      </c>
      <c r="D126" s="6" t="s">
        <v>136</v>
      </c>
      <c r="E126" s="12" t="n">
        <v>0</v>
      </c>
      <c r="F126" s="13" t="n">
        <v>253.1</v>
      </c>
      <c r="G126" s="5" t="str">
        <f aca="false">INDEX(Merchant_Map!$E$5:$E$24,MATCH(B126,Merchant_Map!$A$5:$A$24,0))</f>
        <v>House (Direct)</v>
      </c>
      <c r="H126" s="11" t="n">
        <f aca="false">INDEX(Merchant_Map!$G$5:$G$24,MATCH(B126,Merchant_Map!$A$5:$A$24,0))</f>
        <v>0</v>
      </c>
      <c r="I126" s="14" t="n">
        <f aca="false">F126*H126</f>
        <v>0</v>
      </c>
      <c r="J126" s="14" t="n">
        <f aca="false">F126-I126</f>
        <v>253.1</v>
      </c>
    </row>
    <row r="127" customFormat="false" ht="15" hidden="false" customHeight="false" outlineLevel="0" collapsed="false">
      <c r="A127" s="6" t="s">
        <v>125</v>
      </c>
      <c r="B127" s="6" t="s">
        <v>88</v>
      </c>
      <c r="C127" s="6" t="s">
        <v>81</v>
      </c>
      <c r="D127" s="6" t="s">
        <v>124</v>
      </c>
      <c r="E127" s="12" t="n">
        <v>364792</v>
      </c>
      <c r="F127" s="13" t="n">
        <v>1021.42</v>
      </c>
      <c r="G127" s="5" t="str">
        <f aca="false">INDEX(Merchant_Map!$E$5:$E$24,MATCH(B127,Merchant_Map!$A$5:$A$24,0))</f>
        <v>House (Direct)</v>
      </c>
      <c r="H127" s="11" t="n">
        <f aca="false">INDEX(Merchant_Map!$G$5:$G$24,MATCH(B127,Merchant_Map!$A$5:$A$24,0))</f>
        <v>0</v>
      </c>
      <c r="I127" s="14" t="n">
        <f aca="false">F127*H127</f>
        <v>0</v>
      </c>
      <c r="J127" s="14" t="n">
        <f aca="false">F127-I127</f>
        <v>1021.42</v>
      </c>
    </row>
    <row r="128" customFormat="false" ht="15" hidden="false" customHeight="false" outlineLevel="0" collapsed="false">
      <c r="A128" s="6" t="s">
        <v>125</v>
      </c>
      <c r="B128" s="6" t="s">
        <v>88</v>
      </c>
      <c r="C128" s="6" t="s">
        <v>75</v>
      </c>
      <c r="D128" s="6" t="s">
        <v>136</v>
      </c>
      <c r="E128" s="12" t="n">
        <v>0</v>
      </c>
      <c r="F128" s="13" t="n">
        <v>239.6</v>
      </c>
      <c r="G128" s="5" t="str">
        <f aca="false">INDEX(Merchant_Map!$E$5:$E$24,MATCH(B128,Merchant_Map!$A$5:$A$24,0))</f>
        <v>House (Direct)</v>
      </c>
      <c r="H128" s="11" t="n">
        <f aca="false">INDEX(Merchant_Map!$G$5:$G$24,MATCH(B128,Merchant_Map!$A$5:$A$24,0))</f>
        <v>0</v>
      </c>
      <c r="I128" s="14" t="n">
        <f aca="false">F128*H128</f>
        <v>0</v>
      </c>
      <c r="J128" s="14" t="n">
        <f aca="false">F128-I128</f>
        <v>239.6</v>
      </c>
    </row>
    <row r="129" customFormat="false" ht="15" hidden="false" customHeight="false" outlineLevel="0" collapsed="false">
      <c r="A129" s="6" t="s">
        <v>126</v>
      </c>
      <c r="B129" s="6" t="s">
        <v>88</v>
      </c>
      <c r="C129" s="6" t="s">
        <v>81</v>
      </c>
      <c r="D129" s="6" t="s">
        <v>124</v>
      </c>
      <c r="E129" s="12" t="n">
        <v>379984</v>
      </c>
      <c r="F129" s="13" t="n">
        <v>1063.96</v>
      </c>
      <c r="G129" s="5" t="str">
        <f aca="false">INDEX(Merchant_Map!$E$5:$E$24,MATCH(B129,Merchant_Map!$A$5:$A$24,0))</f>
        <v>House (Direct)</v>
      </c>
      <c r="H129" s="11" t="n">
        <f aca="false">INDEX(Merchant_Map!$G$5:$G$24,MATCH(B129,Merchant_Map!$A$5:$A$24,0))</f>
        <v>0</v>
      </c>
      <c r="I129" s="14" t="n">
        <f aca="false">F129*H129</f>
        <v>0</v>
      </c>
      <c r="J129" s="14" t="n">
        <f aca="false">F129-I129</f>
        <v>1063.96</v>
      </c>
    </row>
    <row r="130" customFormat="false" ht="15" hidden="false" customHeight="false" outlineLevel="0" collapsed="false">
      <c r="A130" s="6" t="s">
        <v>126</v>
      </c>
      <c r="B130" s="6" t="s">
        <v>88</v>
      </c>
      <c r="C130" s="6" t="s">
        <v>75</v>
      </c>
      <c r="D130" s="6" t="s">
        <v>136</v>
      </c>
      <c r="E130" s="12" t="n">
        <v>0</v>
      </c>
      <c r="F130" s="13" t="n">
        <v>248.5</v>
      </c>
      <c r="G130" s="5" t="str">
        <f aca="false">INDEX(Merchant_Map!$E$5:$E$24,MATCH(B130,Merchant_Map!$A$5:$A$24,0))</f>
        <v>House (Direct)</v>
      </c>
      <c r="H130" s="11" t="n">
        <f aca="false">INDEX(Merchant_Map!$G$5:$G$24,MATCH(B130,Merchant_Map!$A$5:$A$24,0))</f>
        <v>0</v>
      </c>
      <c r="I130" s="14" t="n">
        <f aca="false">F130*H130</f>
        <v>0</v>
      </c>
      <c r="J130" s="14" t="n">
        <f aca="false">F130-I130</f>
        <v>248.5</v>
      </c>
    </row>
    <row r="131" customFormat="false" ht="15" hidden="false" customHeight="false" outlineLevel="0" collapsed="false">
      <c r="A131" s="6" t="s">
        <v>127</v>
      </c>
      <c r="B131" s="6" t="s">
        <v>88</v>
      </c>
      <c r="C131" s="6" t="s">
        <v>81</v>
      </c>
      <c r="D131" s="6" t="s">
        <v>124</v>
      </c>
      <c r="E131" s="12" t="n">
        <v>369689</v>
      </c>
      <c r="F131" s="13" t="n">
        <v>1035.13</v>
      </c>
      <c r="G131" s="5" t="str">
        <f aca="false">INDEX(Merchant_Map!$E$5:$E$24,MATCH(B131,Merchant_Map!$A$5:$A$24,0))</f>
        <v>House (Direct)</v>
      </c>
      <c r="H131" s="11" t="n">
        <f aca="false">INDEX(Merchant_Map!$G$5:$G$24,MATCH(B131,Merchant_Map!$A$5:$A$24,0))</f>
        <v>0</v>
      </c>
      <c r="I131" s="14" t="n">
        <f aca="false">F131*H131</f>
        <v>0</v>
      </c>
      <c r="J131" s="14" t="n">
        <f aca="false">F131-I131</f>
        <v>1035.13</v>
      </c>
    </row>
    <row r="132" customFormat="false" ht="15" hidden="false" customHeight="false" outlineLevel="0" collapsed="false">
      <c r="A132" s="6" t="s">
        <v>127</v>
      </c>
      <c r="B132" s="6" t="s">
        <v>88</v>
      </c>
      <c r="C132" s="6" t="s">
        <v>75</v>
      </c>
      <c r="D132" s="6" t="s">
        <v>136</v>
      </c>
      <c r="E132" s="12" t="n">
        <v>0</v>
      </c>
      <c r="F132" s="13" t="n">
        <v>242.45</v>
      </c>
      <c r="G132" s="5" t="str">
        <f aca="false">INDEX(Merchant_Map!$E$5:$E$24,MATCH(B132,Merchant_Map!$A$5:$A$24,0))</f>
        <v>House (Direct)</v>
      </c>
      <c r="H132" s="11" t="n">
        <f aca="false">INDEX(Merchant_Map!$G$5:$G$24,MATCH(B132,Merchant_Map!$A$5:$A$24,0))</f>
        <v>0</v>
      </c>
      <c r="I132" s="14" t="n">
        <f aca="false">F132*H132</f>
        <v>0</v>
      </c>
      <c r="J132" s="14" t="n">
        <f aca="false">F132-I132</f>
        <v>242.45</v>
      </c>
    </row>
    <row r="133" customFormat="false" ht="15" hidden="false" customHeight="false" outlineLevel="0" collapsed="false">
      <c r="A133" s="6" t="s">
        <v>128</v>
      </c>
      <c r="B133" s="6" t="s">
        <v>88</v>
      </c>
      <c r="C133" s="6" t="s">
        <v>81</v>
      </c>
      <c r="D133" s="6" t="s">
        <v>124</v>
      </c>
      <c r="E133" s="12" t="n">
        <v>408399</v>
      </c>
      <c r="F133" s="13" t="n">
        <v>1143.52</v>
      </c>
      <c r="G133" s="5" t="str">
        <f aca="false">INDEX(Merchant_Map!$E$5:$E$24,MATCH(B133,Merchant_Map!$A$5:$A$24,0))</f>
        <v>House (Direct)</v>
      </c>
      <c r="H133" s="11" t="n">
        <f aca="false">INDEX(Merchant_Map!$G$5:$G$24,MATCH(B133,Merchant_Map!$A$5:$A$24,0))</f>
        <v>0</v>
      </c>
      <c r="I133" s="14" t="n">
        <f aca="false">F133*H133</f>
        <v>0</v>
      </c>
      <c r="J133" s="14" t="n">
        <f aca="false">F133-I133</f>
        <v>1143.52</v>
      </c>
    </row>
    <row r="134" customFormat="false" ht="15" hidden="false" customHeight="false" outlineLevel="0" collapsed="false">
      <c r="A134" s="6" t="s">
        <v>128</v>
      </c>
      <c r="B134" s="6" t="s">
        <v>88</v>
      </c>
      <c r="C134" s="6" t="s">
        <v>75</v>
      </c>
      <c r="D134" s="6" t="s">
        <v>136</v>
      </c>
      <c r="E134" s="12" t="n">
        <v>0</v>
      </c>
      <c r="F134" s="13" t="n">
        <v>265.25</v>
      </c>
      <c r="G134" s="5" t="str">
        <f aca="false">INDEX(Merchant_Map!$E$5:$E$24,MATCH(B134,Merchant_Map!$A$5:$A$24,0))</f>
        <v>House (Direct)</v>
      </c>
      <c r="H134" s="11" t="n">
        <f aca="false">INDEX(Merchant_Map!$G$5:$G$24,MATCH(B134,Merchant_Map!$A$5:$A$24,0))</f>
        <v>0</v>
      </c>
      <c r="I134" s="14" t="n">
        <f aca="false">F134*H134</f>
        <v>0</v>
      </c>
      <c r="J134" s="14" t="n">
        <f aca="false">F134-I134</f>
        <v>265.25</v>
      </c>
    </row>
    <row r="135" customFormat="false" ht="15" hidden="false" customHeight="false" outlineLevel="0" collapsed="false">
      <c r="A135" s="6" t="s">
        <v>129</v>
      </c>
      <c r="B135" s="6" t="s">
        <v>88</v>
      </c>
      <c r="C135" s="6" t="s">
        <v>81</v>
      </c>
      <c r="D135" s="6" t="s">
        <v>124</v>
      </c>
      <c r="E135" s="12" t="n">
        <v>411310</v>
      </c>
      <c r="F135" s="13" t="n">
        <v>1151.67</v>
      </c>
      <c r="G135" s="5" t="str">
        <f aca="false">INDEX(Merchant_Map!$E$5:$E$24,MATCH(B135,Merchant_Map!$A$5:$A$24,0))</f>
        <v>House (Direct)</v>
      </c>
      <c r="H135" s="11" t="n">
        <f aca="false">INDEX(Merchant_Map!$G$5:$G$24,MATCH(B135,Merchant_Map!$A$5:$A$24,0))</f>
        <v>0</v>
      </c>
      <c r="I135" s="14" t="n">
        <f aca="false">F135*H135</f>
        <v>0</v>
      </c>
      <c r="J135" s="14" t="n">
        <f aca="false">F135-I135</f>
        <v>1151.67</v>
      </c>
    </row>
    <row r="136" customFormat="false" ht="15" hidden="false" customHeight="false" outlineLevel="0" collapsed="false">
      <c r="A136" s="6" t="s">
        <v>129</v>
      </c>
      <c r="B136" s="6" t="s">
        <v>88</v>
      </c>
      <c r="C136" s="6" t="s">
        <v>75</v>
      </c>
      <c r="D136" s="6" t="s">
        <v>136</v>
      </c>
      <c r="E136" s="12" t="n">
        <v>0</v>
      </c>
      <c r="F136" s="13" t="n">
        <v>266.95</v>
      </c>
      <c r="G136" s="5" t="str">
        <f aca="false">INDEX(Merchant_Map!$E$5:$E$24,MATCH(B136,Merchant_Map!$A$5:$A$24,0))</f>
        <v>House (Direct)</v>
      </c>
      <c r="H136" s="11" t="n">
        <f aca="false">INDEX(Merchant_Map!$G$5:$G$24,MATCH(B136,Merchant_Map!$A$5:$A$24,0))</f>
        <v>0</v>
      </c>
      <c r="I136" s="14" t="n">
        <f aca="false">F136*H136</f>
        <v>0</v>
      </c>
      <c r="J136" s="14" t="n">
        <f aca="false">F136-I136</f>
        <v>266.95</v>
      </c>
    </row>
    <row r="137" customFormat="false" ht="15" hidden="false" customHeight="false" outlineLevel="0" collapsed="false">
      <c r="A137" s="6" t="s">
        <v>130</v>
      </c>
      <c r="B137" s="6" t="s">
        <v>88</v>
      </c>
      <c r="C137" s="6" t="s">
        <v>81</v>
      </c>
      <c r="D137" s="6" t="s">
        <v>124</v>
      </c>
      <c r="E137" s="12" t="n">
        <v>388887</v>
      </c>
      <c r="F137" s="13" t="n">
        <v>1088.88</v>
      </c>
      <c r="G137" s="5" t="str">
        <f aca="false">INDEX(Merchant_Map!$E$5:$E$24,MATCH(B137,Merchant_Map!$A$5:$A$24,0))</f>
        <v>House (Direct)</v>
      </c>
      <c r="H137" s="11" t="n">
        <f aca="false">INDEX(Merchant_Map!$G$5:$G$24,MATCH(B137,Merchant_Map!$A$5:$A$24,0))</f>
        <v>0</v>
      </c>
      <c r="I137" s="14" t="n">
        <f aca="false">F137*H137</f>
        <v>0</v>
      </c>
      <c r="J137" s="14" t="n">
        <f aca="false">F137-I137</f>
        <v>1088.88</v>
      </c>
    </row>
    <row r="138" customFormat="false" ht="15" hidden="false" customHeight="false" outlineLevel="0" collapsed="false">
      <c r="A138" s="6" t="s">
        <v>130</v>
      </c>
      <c r="B138" s="6" t="s">
        <v>88</v>
      </c>
      <c r="C138" s="6" t="s">
        <v>75</v>
      </c>
      <c r="D138" s="6" t="s">
        <v>136</v>
      </c>
      <c r="E138" s="12" t="n">
        <v>0</v>
      </c>
      <c r="F138" s="13" t="n">
        <v>253.75</v>
      </c>
      <c r="G138" s="5" t="str">
        <f aca="false">INDEX(Merchant_Map!$E$5:$E$24,MATCH(B138,Merchant_Map!$A$5:$A$24,0))</f>
        <v>House (Direct)</v>
      </c>
      <c r="H138" s="11" t="n">
        <f aca="false">INDEX(Merchant_Map!$G$5:$G$24,MATCH(B138,Merchant_Map!$A$5:$A$24,0))</f>
        <v>0</v>
      </c>
      <c r="I138" s="14" t="n">
        <f aca="false">F138*H138</f>
        <v>0</v>
      </c>
      <c r="J138" s="14" t="n">
        <f aca="false">F138-I138</f>
        <v>253.75</v>
      </c>
    </row>
    <row r="139" customFormat="false" ht="15" hidden="false" customHeight="false" outlineLevel="0" collapsed="false">
      <c r="A139" s="6" t="s">
        <v>131</v>
      </c>
      <c r="B139" s="6" t="s">
        <v>88</v>
      </c>
      <c r="C139" s="6" t="s">
        <v>81</v>
      </c>
      <c r="D139" s="6" t="s">
        <v>124</v>
      </c>
      <c r="E139" s="12" t="n">
        <v>410033</v>
      </c>
      <c r="F139" s="13" t="n">
        <v>1148.09</v>
      </c>
      <c r="G139" s="5" t="str">
        <f aca="false">INDEX(Merchant_Map!$E$5:$E$24,MATCH(B139,Merchant_Map!$A$5:$A$24,0))</f>
        <v>House (Direct)</v>
      </c>
      <c r="H139" s="11" t="n">
        <f aca="false">INDEX(Merchant_Map!$G$5:$G$24,MATCH(B139,Merchant_Map!$A$5:$A$24,0))</f>
        <v>0</v>
      </c>
      <c r="I139" s="14" t="n">
        <f aca="false">F139*H139</f>
        <v>0</v>
      </c>
      <c r="J139" s="14" t="n">
        <f aca="false">F139-I139</f>
        <v>1148.09</v>
      </c>
    </row>
    <row r="140" customFormat="false" ht="15" hidden="false" customHeight="false" outlineLevel="0" collapsed="false">
      <c r="A140" s="6" t="s">
        <v>131</v>
      </c>
      <c r="B140" s="6" t="s">
        <v>88</v>
      </c>
      <c r="C140" s="6" t="s">
        <v>75</v>
      </c>
      <c r="D140" s="6" t="s">
        <v>136</v>
      </c>
      <c r="E140" s="12" t="n">
        <v>0</v>
      </c>
      <c r="F140" s="13" t="n">
        <v>266.2</v>
      </c>
      <c r="G140" s="5" t="str">
        <f aca="false">INDEX(Merchant_Map!$E$5:$E$24,MATCH(B140,Merchant_Map!$A$5:$A$24,0))</f>
        <v>House (Direct)</v>
      </c>
      <c r="H140" s="11" t="n">
        <f aca="false">INDEX(Merchant_Map!$G$5:$G$24,MATCH(B140,Merchant_Map!$A$5:$A$24,0))</f>
        <v>0</v>
      </c>
      <c r="I140" s="14" t="n">
        <f aca="false">F140*H140</f>
        <v>0</v>
      </c>
      <c r="J140" s="14" t="n">
        <f aca="false">F140-I140</f>
        <v>266.2</v>
      </c>
    </row>
    <row r="141" customFormat="false" ht="15" hidden="false" customHeight="false" outlineLevel="0" collapsed="false">
      <c r="A141" s="6" t="s">
        <v>132</v>
      </c>
      <c r="B141" s="6" t="s">
        <v>88</v>
      </c>
      <c r="C141" s="6" t="s">
        <v>81</v>
      </c>
      <c r="D141" s="6" t="s">
        <v>124</v>
      </c>
      <c r="E141" s="12" t="n">
        <v>413485</v>
      </c>
      <c r="F141" s="13" t="n">
        <v>1157.76</v>
      </c>
      <c r="G141" s="5" t="str">
        <f aca="false">INDEX(Merchant_Map!$E$5:$E$24,MATCH(B141,Merchant_Map!$A$5:$A$24,0))</f>
        <v>House (Direct)</v>
      </c>
      <c r="H141" s="11" t="n">
        <f aca="false">INDEX(Merchant_Map!$G$5:$G$24,MATCH(B141,Merchant_Map!$A$5:$A$24,0))</f>
        <v>0</v>
      </c>
      <c r="I141" s="14" t="n">
        <f aca="false">F141*H141</f>
        <v>0</v>
      </c>
      <c r="J141" s="14" t="n">
        <f aca="false">F141-I141</f>
        <v>1157.76</v>
      </c>
    </row>
    <row r="142" customFormat="false" ht="15" hidden="false" customHeight="false" outlineLevel="0" collapsed="false">
      <c r="A142" s="6" t="s">
        <v>132</v>
      </c>
      <c r="B142" s="6" t="s">
        <v>88</v>
      </c>
      <c r="C142" s="6" t="s">
        <v>75</v>
      </c>
      <c r="D142" s="6" t="s">
        <v>136</v>
      </c>
      <c r="E142" s="12" t="n">
        <v>0</v>
      </c>
      <c r="F142" s="13" t="n">
        <v>268.25</v>
      </c>
      <c r="G142" s="5" t="str">
        <f aca="false">INDEX(Merchant_Map!$E$5:$E$24,MATCH(B142,Merchant_Map!$A$5:$A$24,0))</f>
        <v>House (Direct)</v>
      </c>
      <c r="H142" s="11" t="n">
        <f aca="false">INDEX(Merchant_Map!$G$5:$G$24,MATCH(B142,Merchant_Map!$A$5:$A$24,0))</f>
        <v>0</v>
      </c>
      <c r="I142" s="14" t="n">
        <f aca="false">F142*H142</f>
        <v>0</v>
      </c>
      <c r="J142" s="14" t="n">
        <f aca="false">F142-I142</f>
        <v>268.25</v>
      </c>
    </row>
    <row r="143" customFormat="false" ht="15" hidden="false" customHeight="false" outlineLevel="0" collapsed="false">
      <c r="A143" s="6" t="s">
        <v>133</v>
      </c>
      <c r="B143" s="6" t="s">
        <v>88</v>
      </c>
      <c r="C143" s="6" t="s">
        <v>81</v>
      </c>
      <c r="D143" s="6" t="s">
        <v>124</v>
      </c>
      <c r="E143" s="12" t="n">
        <v>395839</v>
      </c>
      <c r="F143" s="13" t="n">
        <v>1108.35</v>
      </c>
      <c r="G143" s="5" t="str">
        <f aca="false">INDEX(Merchant_Map!$E$5:$E$24,MATCH(B143,Merchant_Map!$A$5:$A$24,0))</f>
        <v>House (Direct)</v>
      </c>
      <c r="H143" s="11" t="n">
        <f aca="false">INDEX(Merchant_Map!$G$5:$G$24,MATCH(B143,Merchant_Map!$A$5:$A$24,0))</f>
        <v>0</v>
      </c>
      <c r="I143" s="14" t="n">
        <f aca="false">F143*H143</f>
        <v>0</v>
      </c>
      <c r="J143" s="14" t="n">
        <f aca="false">F143-I143</f>
        <v>1108.35</v>
      </c>
    </row>
    <row r="144" customFormat="false" ht="15" hidden="false" customHeight="false" outlineLevel="0" collapsed="false">
      <c r="A144" s="6" t="s">
        <v>133</v>
      </c>
      <c r="B144" s="6" t="s">
        <v>88</v>
      </c>
      <c r="C144" s="6" t="s">
        <v>75</v>
      </c>
      <c r="D144" s="6" t="s">
        <v>136</v>
      </c>
      <c r="E144" s="12" t="n">
        <v>0</v>
      </c>
      <c r="F144" s="13" t="n">
        <v>257.85</v>
      </c>
      <c r="G144" s="5" t="str">
        <f aca="false">INDEX(Merchant_Map!$E$5:$E$24,MATCH(B144,Merchant_Map!$A$5:$A$24,0))</f>
        <v>House (Direct)</v>
      </c>
      <c r="H144" s="11" t="n">
        <f aca="false">INDEX(Merchant_Map!$G$5:$G$24,MATCH(B144,Merchant_Map!$A$5:$A$24,0))</f>
        <v>0</v>
      </c>
      <c r="I144" s="14" t="n">
        <f aca="false">F144*H144</f>
        <v>0</v>
      </c>
      <c r="J144" s="14" t="n">
        <f aca="false">F144-I144</f>
        <v>257.85</v>
      </c>
    </row>
    <row r="145" customFormat="false" ht="15" hidden="false" customHeight="false" outlineLevel="0" collapsed="false">
      <c r="A145" s="6" t="s">
        <v>134</v>
      </c>
      <c r="B145" s="6" t="s">
        <v>88</v>
      </c>
      <c r="C145" s="6" t="s">
        <v>81</v>
      </c>
      <c r="D145" s="6" t="s">
        <v>124</v>
      </c>
      <c r="E145" s="12" t="n">
        <v>431170</v>
      </c>
      <c r="F145" s="13" t="n">
        <v>1207.28</v>
      </c>
      <c r="G145" s="5" t="str">
        <f aca="false">INDEX(Merchant_Map!$E$5:$E$24,MATCH(B145,Merchant_Map!$A$5:$A$24,0))</f>
        <v>House (Direct)</v>
      </c>
      <c r="H145" s="11" t="n">
        <f aca="false">INDEX(Merchant_Map!$G$5:$G$24,MATCH(B145,Merchant_Map!$A$5:$A$24,0))</f>
        <v>0</v>
      </c>
      <c r="I145" s="14" t="n">
        <f aca="false">F145*H145</f>
        <v>0</v>
      </c>
      <c r="J145" s="14" t="n">
        <f aca="false">F145-I145</f>
        <v>1207.28</v>
      </c>
    </row>
    <row r="146" customFormat="false" ht="15" hidden="false" customHeight="false" outlineLevel="0" collapsed="false">
      <c r="A146" s="6" t="s">
        <v>134</v>
      </c>
      <c r="B146" s="6" t="s">
        <v>88</v>
      </c>
      <c r="C146" s="6" t="s">
        <v>75</v>
      </c>
      <c r="D146" s="6" t="s">
        <v>136</v>
      </c>
      <c r="E146" s="12" t="n">
        <v>0</v>
      </c>
      <c r="F146" s="13" t="n">
        <v>278.65</v>
      </c>
      <c r="G146" s="5" t="str">
        <f aca="false">INDEX(Merchant_Map!$E$5:$E$24,MATCH(B146,Merchant_Map!$A$5:$A$24,0))</f>
        <v>House (Direct)</v>
      </c>
      <c r="H146" s="11" t="n">
        <f aca="false">INDEX(Merchant_Map!$G$5:$G$24,MATCH(B146,Merchant_Map!$A$5:$A$24,0))</f>
        <v>0</v>
      </c>
      <c r="I146" s="14" t="n">
        <f aca="false">F146*H146</f>
        <v>0</v>
      </c>
      <c r="J146" s="14" t="n">
        <f aca="false">F146-I146</f>
        <v>278.65</v>
      </c>
    </row>
    <row r="147" customFormat="false" ht="15" hidden="false" customHeight="false" outlineLevel="0" collapsed="false">
      <c r="A147" s="6" t="s">
        <v>135</v>
      </c>
      <c r="B147" s="6" t="s">
        <v>88</v>
      </c>
      <c r="C147" s="6" t="s">
        <v>81</v>
      </c>
      <c r="D147" s="6" t="s">
        <v>124</v>
      </c>
      <c r="E147" s="12" t="n">
        <v>425018</v>
      </c>
      <c r="F147" s="13" t="n">
        <v>1190.05</v>
      </c>
      <c r="G147" s="5" t="str">
        <f aca="false">INDEX(Merchant_Map!$E$5:$E$24,MATCH(B147,Merchant_Map!$A$5:$A$24,0))</f>
        <v>House (Direct)</v>
      </c>
      <c r="H147" s="11" t="n">
        <f aca="false">INDEX(Merchant_Map!$G$5:$G$24,MATCH(B147,Merchant_Map!$A$5:$A$24,0))</f>
        <v>0</v>
      </c>
      <c r="I147" s="14" t="n">
        <f aca="false">F147*H147</f>
        <v>0</v>
      </c>
      <c r="J147" s="14" t="n">
        <f aca="false">F147-I147</f>
        <v>1190.05</v>
      </c>
    </row>
    <row r="148" customFormat="false" ht="15" hidden="false" customHeight="false" outlineLevel="0" collapsed="false">
      <c r="A148" s="6" t="s">
        <v>135</v>
      </c>
      <c r="B148" s="6" t="s">
        <v>88</v>
      </c>
      <c r="C148" s="6" t="s">
        <v>75</v>
      </c>
      <c r="D148" s="6" t="s">
        <v>136</v>
      </c>
      <c r="E148" s="12" t="n">
        <v>0</v>
      </c>
      <c r="F148" s="13" t="n">
        <v>275</v>
      </c>
      <c r="G148" s="5" t="str">
        <f aca="false">INDEX(Merchant_Map!$E$5:$E$24,MATCH(B148,Merchant_Map!$A$5:$A$24,0))</f>
        <v>House (Direct)</v>
      </c>
      <c r="H148" s="11" t="n">
        <f aca="false">INDEX(Merchant_Map!$G$5:$G$24,MATCH(B148,Merchant_Map!$A$5:$A$24,0))</f>
        <v>0</v>
      </c>
      <c r="I148" s="14" t="n">
        <f aca="false">F148*H148</f>
        <v>0</v>
      </c>
      <c r="J148" s="14" t="n">
        <f aca="false">F148-I148</f>
        <v>275</v>
      </c>
    </row>
    <row r="149" customFormat="false" ht="15" hidden="false" customHeight="false" outlineLevel="0" collapsed="false">
      <c r="A149" s="6" t="s">
        <v>123</v>
      </c>
      <c r="B149" s="6" t="s">
        <v>90</v>
      </c>
      <c r="C149" s="6" t="s">
        <v>70</v>
      </c>
      <c r="D149" s="6" t="s">
        <v>124</v>
      </c>
      <c r="E149" s="12" t="n">
        <v>677933</v>
      </c>
      <c r="F149" s="13" t="n">
        <v>2779.53</v>
      </c>
      <c r="G149" s="5" t="str">
        <f aca="false">INDEX(Merchant_Map!$E$5:$E$24,MATCH(B149,Merchant_Map!$A$5:$A$24,0))</f>
        <v>Partner Delta</v>
      </c>
      <c r="H149" s="11" t="n">
        <f aca="false">INDEX(Merchant_Map!$G$5:$G$24,MATCH(B149,Merchant_Map!$A$5:$A$24,0))</f>
        <v>0.5</v>
      </c>
      <c r="I149" s="14" t="n">
        <f aca="false">F149*H149</f>
        <v>1389.765</v>
      </c>
      <c r="J149" s="14" t="n">
        <f aca="false">F149-I149</f>
        <v>1389.765</v>
      </c>
    </row>
    <row r="150" customFormat="false" ht="15" hidden="false" customHeight="false" outlineLevel="0" collapsed="false">
      <c r="A150" s="6" t="s">
        <v>125</v>
      </c>
      <c r="B150" s="6" t="s">
        <v>90</v>
      </c>
      <c r="C150" s="6" t="s">
        <v>70</v>
      </c>
      <c r="D150" s="6" t="s">
        <v>124</v>
      </c>
      <c r="E150" s="12" t="n">
        <v>666290</v>
      </c>
      <c r="F150" s="13" t="n">
        <v>2731.79</v>
      </c>
      <c r="G150" s="5" t="str">
        <f aca="false">INDEX(Merchant_Map!$E$5:$E$24,MATCH(B150,Merchant_Map!$A$5:$A$24,0))</f>
        <v>Partner Delta</v>
      </c>
      <c r="H150" s="11" t="n">
        <f aca="false">INDEX(Merchant_Map!$G$5:$G$24,MATCH(B150,Merchant_Map!$A$5:$A$24,0))</f>
        <v>0.5</v>
      </c>
      <c r="I150" s="14" t="n">
        <f aca="false">F150*H150</f>
        <v>1365.895</v>
      </c>
      <c r="J150" s="14" t="n">
        <f aca="false">F150-I150</f>
        <v>1365.895</v>
      </c>
    </row>
    <row r="151" customFormat="false" ht="15" hidden="false" customHeight="false" outlineLevel="0" collapsed="false">
      <c r="A151" s="6" t="s">
        <v>126</v>
      </c>
      <c r="B151" s="6" t="s">
        <v>90</v>
      </c>
      <c r="C151" s="6" t="s">
        <v>70</v>
      </c>
      <c r="D151" s="6" t="s">
        <v>124</v>
      </c>
      <c r="E151" s="12" t="n">
        <v>631574</v>
      </c>
      <c r="F151" s="13" t="n">
        <v>2589.45</v>
      </c>
      <c r="G151" s="5" t="str">
        <f aca="false">INDEX(Merchant_Map!$E$5:$E$24,MATCH(B151,Merchant_Map!$A$5:$A$24,0))</f>
        <v>Partner Delta</v>
      </c>
      <c r="H151" s="11" t="n">
        <f aca="false">INDEX(Merchant_Map!$G$5:$G$24,MATCH(B151,Merchant_Map!$A$5:$A$24,0))</f>
        <v>0.5</v>
      </c>
      <c r="I151" s="14" t="n">
        <f aca="false">F151*H151</f>
        <v>1294.725</v>
      </c>
      <c r="J151" s="14" t="n">
        <f aca="false">F151-I151</f>
        <v>1294.725</v>
      </c>
    </row>
    <row r="152" customFormat="false" ht="15" hidden="false" customHeight="false" outlineLevel="0" collapsed="false">
      <c r="A152" s="6" t="s">
        <v>127</v>
      </c>
      <c r="B152" s="6" t="s">
        <v>90</v>
      </c>
      <c r="C152" s="6" t="s">
        <v>70</v>
      </c>
      <c r="D152" s="6" t="s">
        <v>124</v>
      </c>
      <c r="E152" s="12" t="n">
        <v>665554</v>
      </c>
      <c r="F152" s="13" t="n">
        <v>2728.77</v>
      </c>
      <c r="G152" s="5" t="str">
        <f aca="false">INDEX(Merchant_Map!$E$5:$E$24,MATCH(B152,Merchant_Map!$A$5:$A$24,0))</f>
        <v>Partner Delta</v>
      </c>
      <c r="H152" s="11" t="n">
        <f aca="false">INDEX(Merchant_Map!$G$5:$G$24,MATCH(B152,Merchant_Map!$A$5:$A$24,0))</f>
        <v>0.5</v>
      </c>
      <c r="I152" s="14" t="n">
        <f aca="false">F152*H152</f>
        <v>1364.385</v>
      </c>
      <c r="J152" s="14" t="n">
        <f aca="false">F152-I152</f>
        <v>1364.385</v>
      </c>
    </row>
    <row r="153" customFormat="false" ht="15" hidden="false" customHeight="false" outlineLevel="0" collapsed="false">
      <c r="A153" s="6" t="s">
        <v>128</v>
      </c>
      <c r="B153" s="6" t="s">
        <v>90</v>
      </c>
      <c r="C153" s="6" t="s">
        <v>70</v>
      </c>
      <c r="D153" s="6" t="s">
        <v>124</v>
      </c>
      <c r="E153" s="12" t="n">
        <v>648384</v>
      </c>
      <c r="F153" s="13" t="n">
        <v>2658.37</v>
      </c>
      <c r="G153" s="5" t="str">
        <f aca="false">INDEX(Merchant_Map!$E$5:$E$24,MATCH(B153,Merchant_Map!$A$5:$A$24,0))</f>
        <v>Partner Delta</v>
      </c>
      <c r="H153" s="11" t="n">
        <f aca="false">INDEX(Merchant_Map!$G$5:$G$24,MATCH(B153,Merchant_Map!$A$5:$A$24,0))</f>
        <v>0.5</v>
      </c>
      <c r="I153" s="14" t="n">
        <f aca="false">F153*H153</f>
        <v>1329.185</v>
      </c>
      <c r="J153" s="14" t="n">
        <f aca="false">F153-I153</f>
        <v>1329.185</v>
      </c>
    </row>
    <row r="154" customFormat="false" ht="15" hidden="false" customHeight="false" outlineLevel="0" collapsed="false">
      <c r="A154" s="6" t="s">
        <v>129</v>
      </c>
      <c r="B154" s="6" t="s">
        <v>90</v>
      </c>
      <c r="C154" s="6" t="s">
        <v>70</v>
      </c>
      <c r="D154" s="6" t="s">
        <v>124</v>
      </c>
      <c r="E154" s="12" t="n">
        <v>732171</v>
      </c>
      <c r="F154" s="13" t="n">
        <v>3001.9</v>
      </c>
      <c r="G154" s="5" t="str">
        <f aca="false">INDEX(Merchant_Map!$E$5:$E$24,MATCH(B154,Merchant_Map!$A$5:$A$24,0))</f>
        <v>Partner Delta</v>
      </c>
      <c r="H154" s="11" t="n">
        <f aca="false">INDEX(Merchant_Map!$G$5:$G$24,MATCH(B154,Merchant_Map!$A$5:$A$24,0))</f>
        <v>0.5</v>
      </c>
      <c r="I154" s="14" t="n">
        <f aca="false">F154*H154</f>
        <v>1500.95</v>
      </c>
      <c r="J154" s="14" t="n">
        <f aca="false">F154-I154</f>
        <v>1500.95</v>
      </c>
    </row>
    <row r="155" customFormat="false" ht="15" hidden="false" customHeight="false" outlineLevel="0" collapsed="false">
      <c r="A155" s="6" t="s">
        <v>130</v>
      </c>
      <c r="B155" s="6" t="s">
        <v>90</v>
      </c>
      <c r="C155" s="6" t="s">
        <v>70</v>
      </c>
      <c r="D155" s="6" t="s">
        <v>124</v>
      </c>
      <c r="E155" s="12" t="n">
        <v>736697</v>
      </c>
      <c r="F155" s="13" t="n">
        <v>3020.46</v>
      </c>
      <c r="G155" s="5" t="str">
        <f aca="false">INDEX(Merchant_Map!$E$5:$E$24,MATCH(B155,Merchant_Map!$A$5:$A$24,0))</f>
        <v>Partner Delta</v>
      </c>
      <c r="H155" s="11" t="n">
        <f aca="false">INDEX(Merchant_Map!$G$5:$G$24,MATCH(B155,Merchant_Map!$A$5:$A$24,0))</f>
        <v>0.5</v>
      </c>
      <c r="I155" s="14" t="n">
        <f aca="false">F155*H155</f>
        <v>1510.23</v>
      </c>
      <c r="J155" s="14" t="n">
        <f aca="false">F155-I155</f>
        <v>1510.23</v>
      </c>
    </row>
    <row r="156" customFormat="false" ht="15" hidden="false" customHeight="false" outlineLevel="0" collapsed="false">
      <c r="A156" s="6" t="s">
        <v>131</v>
      </c>
      <c r="B156" s="6" t="s">
        <v>90</v>
      </c>
      <c r="C156" s="6" t="s">
        <v>70</v>
      </c>
      <c r="D156" s="6" t="s">
        <v>124</v>
      </c>
      <c r="E156" s="12" t="n">
        <v>741510</v>
      </c>
      <c r="F156" s="13" t="n">
        <v>3040.19</v>
      </c>
      <c r="G156" s="5" t="str">
        <f aca="false">INDEX(Merchant_Map!$E$5:$E$24,MATCH(B156,Merchant_Map!$A$5:$A$24,0))</f>
        <v>Partner Delta</v>
      </c>
      <c r="H156" s="11" t="n">
        <f aca="false">INDEX(Merchant_Map!$G$5:$G$24,MATCH(B156,Merchant_Map!$A$5:$A$24,0))</f>
        <v>0.5</v>
      </c>
      <c r="I156" s="14" t="n">
        <f aca="false">F156*H156</f>
        <v>1520.095</v>
      </c>
      <c r="J156" s="14" t="n">
        <f aca="false">F156-I156</f>
        <v>1520.095</v>
      </c>
    </row>
    <row r="157" customFormat="false" ht="15" hidden="false" customHeight="false" outlineLevel="0" collapsed="false">
      <c r="A157" s="6" t="s">
        <v>132</v>
      </c>
      <c r="B157" s="6" t="s">
        <v>90</v>
      </c>
      <c r="C157" s="6" t="s">
        <v>70</v>
      </c>
      <c r="D157" s="6" t="s">
        <v>124</v>
      </c>
      <c r="E157" s="12" t="n">
        <v>705016</v>
      </c>
      <c r="F157" s="13" t="n">
        <v>2890.57</v>
      </c>
      <c r="G157" s="5" t="str">
        <f aca="false">INDEX(Merchant_Map!$E$5:$E$24,MATCH(B157,Merchant_Map!$A$5:$A$24,0))</f>
        <v>Partner Delta</v>
      </c>
      <c r="H157" s="11" t="n">
        <f aca="false">INDEX(Merchant_Map!$G$5:$G$24,MATCH(B157,Merchant_Map!$A$5:$A$24,0))</f>
        <v>0.5</v>
      </c>
      <c r="I157" s="14" t="n">
        <f aca="false">F157*H157</f>
        <v>1445.285</v>
      </c>
      <c r="J157" s="14" t="n">
        <f aca="false">F157-I157</f>
        <v>1445.285</v>
      </c>
    </row>
    <row r="158" customFormat="false" ht="15" hidden="false" customHeight="false" outlineLevel="0" collapsed="false">
      <c r="A158" s="6" t="s">
        <v>133</v>
      </c>
      <c r="B158" s="6" t="s">
        <v>90</v>
      </c>
      <c r="C158" s="6" t="s">
        <v>70</v>
      </c>
      <c r="D158" s="6" t="s">
        <v>124</v>
      </c>
      <c r="E158" s="12" t="n">
        <v>691602</v>
      </c>
      <c r="F158" s="13" t="n">
        <v>2835.57</v>
      </c>
      <c r="G158" s="5" t="str">
        <f aca="false">INDEX(Merchant_Map!$E$5:$E$24,MATCH(B158,Merchant_Map!$A$5:$A$24,0))</f>
        <v>Partner Delta</v>
      </c>
      <c r="H158" s="11" t="n">
        <f aca="false">INDEX(Merchant_Map!$G$5:$G$24,MATCH(B158,Merchant_Map!$A$5:$A$24,0))</f>
        <v>0.5</v>
      </c>
      <c r="I158" s="14" t="n">
        <f aca="false">F158*H158</f>
        <v>1417.785</v>
      </c>
      <c r="J158" s="14" t="n">
        <f aca="false">F158-I158</f>
        <v>1417.785</v>
      </c>
    </row>
    <row r="159" customFormat="false" ht="15" hidden="false" customHeight="false" outlineLevel="0" collapsed="false">
      <c r="A159" s="6" t="s">
        <v>134</v>
      </c>
      <c r="B159" s="6" t="s">
        <v>90</v>
      </c>
      <c r="C159" s="6" t="s">
        <v>70</v>
      </c>
      <c r="D159" s="6" t="s">
        <v>124</v>
      </c>
      <c r="E159" s="12" t="n">
        <v>772637</v>
      </c>
      <c r="F159" s="13" t="n">
        <v>3167.81</v>
      </c>
      <c r="G159" s="5" t="str">
        <f aca="false">INDEX(Merchant_Map!$E$5:$E$24,MATCH(B159,Merchant_Map!$A$5:$A$24,0))</f>
        <v>Partner Delta</v>
      </c>
      <c r="H159" s="11" t="n">
        <f aca="false">INDEX(Merchant_Map!$G$5:$G$24,MATCH(B159,Merchant_Map!$A$5:$A$24,0))</f>
        <v>0.5</v>
      </c>
      <c r="I159" s="14" t="n">
        <f aca="false">F159*H159</f>
        <v>1583.905</v>
      </c>
      <c r="J159" s="14" t="n">
        <f aca="false">F159-I159</f>
        <v>1583.905</v>
      </c>
    </row>
    <row r="160" customFormat="false" ht="15" hidden="false" customHeight="false" outlineLevel="0" collapsed="false">
      <c r="A160" s="6" t="s">
        <v>135</v>
      </c>
      <c r="B160" s="6" t="s">
        <v>90</v>
      </c>
      <c r="C160" s="6" t="s">
        <v>70</v>
      </c>
      <c r="D160" s="6" t="s">
        <v>124</v>
      </c>
      <c r="E160" s="12" t="n">
        <v>788096</v>
      </c>
      <c r="F160" s="13" t="n">
        <v>3231.19</v>
      </c>
      <c r="G160" s="5" t="str">
        <f aca="false">INDEX(Merchant_Map!$E$5:$E$24,MATCH(B160,Merchant_Map!$A$5:$A$24,0))</f>
        <v>Partner Delta</v>
      </c>
      <c r="H160" s="11" t="n">
        <f aca="false">INDEX(Merchant_Map!$G$5:$G$24,MATCH(B160,Merchant_Map!$A$5:$A$24,0))</f>
        <v>0.5</v>
      </c>
      <c r="I160" s="14" t="n">
        <f aca="false">F160*H160</f>
        <v>1615.595</v>
      </c>
      <c r="J160" s="14" t="n">
        <f aca="false">F160-I160</f>
        <v>1615.595</v>
      </c>
    </row>
    <row r="161" customFormat="false" ht="15" hidden="false" customHeight="false" outlineLevel="0" collapsed="false">
      <c r="A161" s="6" t="s">
        <v>123</v>
      </c>
      <c r="B161" s="6" t="s">
        <v>92</v>
      </c>
      <c r="C161" s="6" t="s">
        <v>74</v>
      </c>
      <c r="D161" s="6" t="s">
        <v>124</v>
      </c>
      <c r="E161" s="12" t="n">
        <v>222365</v>
      </c>
      <c r="F161" s="13" t="n">
        <v>911.7</v>
      </c>
      <c r="G161" s="5" t="str">
        <f aca="false">INDEX(Merchant_Map!$E$5:$E$24,MATCH(B161,Merchant_Map!$A$5:$A$24,0))</f>
        <v>Partner Alpha</v>
      </c>
      <c r="H161" s="11" t="n">
        <f aca="false">INDEX(Merchant_Map!$G$5:$G$24,MATCH(B161,Merchant_Map!$A$5:$A$24,0))</f>
        <v>0.4</v>
      </c>
      <c r="I161" s="14" t="n">
        <f aca="false">F161*H161</f>
        <v>364.68</v>
      </c>
      <c r="J161" s="14" t="n">
        <f aca="false">F161-I161</f>
        <v>547.02</v>
      </c>
    </row>
    <row r="162" customFormat="false" ht="15" hidden="false" customHeight="false" outlineLevel="0" collapsed="false">
      <c r="A162" s="6" t="s">
        <v>123</v>
      </c>
      <c r="B162" s="6" t="s">
        <v>92</v>
      </c>
      <c r="C162" s="6" t="s">
        <v>75</v>
      </c>
      <c r="D162" s="6" t="s">
        <v>136</v>
      </c>
      <c r="E162" s="12" t="n">
        <v>0</v>
      </c>
      <c r="F162" s="13" t="n">
        <v>155.8</v>
      </c>
      <c r="G162" s="5" t="str">
        <f aca="false">INDEX(Merchant_Map!$E$5:$E$24,MATCH(B162,Merchant_Map!$A$5:$A$24,0))</f>
        <v>Partner Alpha</v>
      </c>
      <c r="H162" s="11" t="n">
        <f aca="false">INDEX(Merchant_Map!$G$5:$G$24,MATCH(B162,Merchant_Map!$A$5:$A$24,0))</f>
        <v>0.4</v>
      </c>
      <c r="I162" s="14" t="n">
        <f aca="false">F162*H162</f>
        <v>62.32</v>
      </c>
      <c r="J162" s="14" t="n">
        <f aca="false">F162-I162</f>
        <v>93.48</v>
      </c>
    </row>
    <row r="163" customFormat="false" ht="15" hidden="false" customHeight="false" outlineLevel="0" collapsed="false">
      <c r="A163" s="6" t="s">
        <v>125</v>
      </c>
      <c r="B163" s="6" t="s">
        <v>92</v>
      </c>
      <c r="C163" s="6" t="s">
        <v>74</v>
      </c>
      <c r="D163" s="6" t="s">
        <v>124</v>
      </c>
      <c r="E163" s="12" t="n">
        <v>236410</v>
      </c>
      <c r="F163" s="13" t="n">
        <v>969.28</v>
      </c>
      <c r="G163" s="5" t="str">
        <f aca="false">INDEX(Merchant_Map!$E$5:$E$24,MATCH(B163,Merchant_Map!$A$5:$A$24,0))</f>
        <v>Partner Alpha</v>
      </c>
      <c r="H163" s="11" t="n">
        <f aca="false">INDEX(Merchant_Map!$G$5:$G$24,MATCH(B163,Merchant_Map!$A$5:$A$24,0))</f>
        <v>0.4</v>
      </c>
      <c r="I163" s="14" t="n">
        <f aca="false">F163*H163</f>
        <v>387.712</v>
      </c>
      <c r="J163" s="14" t="n">
        <f aca="false">F163-I163</f>
        <v>581.568</v>
      </c>
    </row>
    <row r="164" customFormat="false" ht="15" hidden="false" customHeight="false" outlineLevel="0" collapsed="false">
      <c r="A164" s="6" t="s">
        <v>125</v>
      </c>
      <c r="B164" s="6" t="s">
        <v>92</v>
      </c>
      <c r="C164" s="6" t="s">
        <v>75</v>
      </c>
      <c r="D164" s="6" t="s">
        <v>136</v>
      </c>
      <c r="E164" s="12" t="n">
        <v>0</v>
      </c>
      <c r="F164" s="13" t="n">
        <v>164.05</v>
      </c>
      <c r="G164" s="5" t="str">
        <f aca="false">INDEX(Merchant_Map!$E$5:$E$24,MATCH(B164,Merchant_Map!$A$5:$A$24,0))</f>
        <v>Partner Alpha</v>
      </c>
      <c r="H164" s="11" t="n">
        <f aca="false">INDEX(Merchant_Map!$G$5:$G$24,MATCH(B164,Merchant_Map!$A$5:$A$24,0))</f>
        <v>0.4</v>
      </c>
      <c r="I164" s="14" t="n">
        <f aca="false">F164*H164</f>
        <v>65.62</v>
      </c>
      <c r="J164" s="14" t="n">
        <f aca="false">F164-I164</f>
        <v>98.43</v>
      </c>
    </row>
    <row r="165" customFormat="false" ht="15" hidden="false" customHeight="false" outlineLevel="0" collapsed="false">
      <c r="A165" s="6" t="s">
        <v>126</v>
      </c>
      <c r="B165" s="6" t="s">
        <v>92</v>
      </c>
      <c r="C165" s="6" t="s">
        <v>74</v>
      </c>
      <c r="D165" s="6" t="s">
        <v>124</v>
      </c>
      <c r="E165" s="12" t="n">
        <v>227261</v>
      </c>
      <c r="F165" s="13" t="n">
        <v>931.77</v>
      </c>
      <c r="G165" s="5" t="str">
        <f aca="false">INDEX(Merchant_Map!$E$5:$E$24,MATCH(B165,Merchant_Map!$A$5:$A$24,0))</f>
        <v>Partner Alpha</v>
      </c>
      <c r="H165" s="11" t="n">
        <f aca="false">INDEX(Merchant_Map!$G$5:$G$24,MATCH(B165,Merchant_Map!$A$5:$A$24,0))</f>
        <v>0.4</v>
      </c>
      <c r="I165" s="14" t="n">
        <f aca="false">F165*H165</f>
        <v>372.708</v>
      </c>
      <c r="J165" s="14" t="n">
        <f aca="false">F165-I165</f>
        <v>559.062</v>
      </c>
    </row>
    <row r="166" customFormat="false" ht="15" hidden="false" customHeight="false" outlineLevel="0" collapsed="false">
      <c r="A166" s="6" t="s">
        <v>126</v>
      </c>
      <c r="B166" s="6" t="s">
        <v>92</v>
      </c>
      <c r="C166" s="6" t="s">
        <v>75</v>
      </c>
      <c r="D166" s="6" t="s">
        <v>136</v>
      </c>
      <c r="E166" s="12" t="n">
        <v>0</v>
      </c>
      <c r="F166" s="13" t="n">
        <v>158.7</v>
      </c>
      <c r="G166" s="5" t="str">
        <f aca="false">INDEX(Merchant_Map!$E$5:$E$24,MATCH(B166,Merchant_Map!$A$5:$A$24,0))</f>
        <v>Partner Alpha</v>
      </c>
      <c r="H166" s="11" t="n">
        <f aca="false">INDEX(Merchant_Map!$G$5:$G$24,MATCH(B166,Merchant_Map!$A$5:$A$24,0))</f>
        <v>0.4</v>
      </c>
      <c r="I166" s="14" t="n">
        <f aca="false">F166*H166</f>
        <v>63.48</v>
      </c>
      <c r="J166" s="14" t="n">
        <f aca="false">F166-I166</f>
        <v>95.22</v>
      </c>
    </row>
    <row r="167" customFormat="false" ht="15" hidden="false" customHeight="false" outlineLevel="0" collapsed="false">
      <c r="A167" s="6" t="s">
        <v>127</v>
      </c>
      <c r="B167" s="6" t="s">
        <v>92</v>
      </c>
      <c r="C167" s="6" t="s">
        <v>74</v>
      </c>
      <c r="D167" s="6" t="s">
        <v>124</v>
      </c>
      <c r="E167" s="12" t="n">
        <v>250110</v>
      </c>
      <c r="F167" s="13" t="n">
        <v>1025.45</v>
      </c>
      <c r="G167" s="5" t="str">
        <f aca="false">INDEX(Merchant_Map!$E$5:$E$24,MATCH(B167,Merchant_Map!$A$5:$A$24,0))</f>
        <v>Partner Alpha</v>
      </c>
      <c r="H167" s="11" t="n">
        <f aca="false">INDEX(Merchant_Map!$G$5:$G$24,MATCH(B167,Merchant_Map!$A$5:$A$24,0))</f>
        <v>0.4</v>
      </c>
      <c r="I167" s="14" t="n">
        <f aca="false">F167*H167</f>
        <v>410.18</v>
      </c>
      <c r="J167" s="14" t="n">
        <f aca="false">F167-I167</f>
        <v>615.27</v>
      </c>
    </row>
    <row r="168" customFormat="false" ht="15" hidden="false" customHeight="false" outlineLevel="0" collapsed="false">
      <c r="A168" s="6" t="s">
        <v>127</v>
      </c>
      <c r="B168" s="6" t="s">
        <v>92</v>
      </c>
      <c r="C168" s="6" t="s">
        <v>75</v>
      </c>
      <c r="D168" s="6" t="s">
        <v>136</v>
      </c>
      <c r="E168" s="12" t="n">
        <v>0</v>
      </c>
      <c r="F168" s="13" t="n">
        <v>172.1</v>
      </c>
      <c r="G168" s="5" t="str">
        <f aca="false">INDEX(Merchant_Map!$E$5:$E$24,MATCH(B168,Merchant_Map!$A$5:$A$24,0))</f>
        <v>Partner Alpha</v>
      </c>
      <c r="H168" s="11" t="n">
        <f aca="false">INDEX(Merchant_Map!$G$5:$G$24,MATCH(B168,Merchant_Map!$A$5:$A$24,0))</f>
        <v>0.4</v>
      </c>
      <c r="I168" s="14" t="n">
        <f aca="false">F168*H168</f>
        <v>68.84</v>
      </c>
      <c r="J168" s="14" t="n">
        <f aca="false">F168-I168</f>
        <v>103.26</v>
      </c>
    </row>
    <row r="169" customFormat="false" ht="15" hidden="false" customHeight="false" outlineLevel="0" collapsed="false">
      <c r="A169" s="6" t="s">
        <v>128</v>
      </c>
      <c r="B169" s="6" t="s">
        <v>92</v>
      </c>
      <c r="C169" s="6" t="s">
        <v>74</v>
      </c>
      <c r="D169" s="6" t="s">
        <v>124</v>
      </c>
      <c r="E169" s="12" t="n">
        <v>253265</v>
      </c>
      <c r="F169" s="13" t="n">
        <v>1038.39</v>
      </c>
      <c r="G169" s="5" t="str">
        <f aca="false">INDEX(Merchant_Map!$E$5:$E$24,MATCH(B169,Merchant_Map!$A$5:$A$24,0))</f>
        <v>Partner Alpha</v>
      </c>
      <c r="H169" s="11" t="n">
        <f aca="false">INDEX(Merchant_Map!$G$5:$G$24,MATCH(B169,Merchant_Map!$A$5:$A$24,0))</f>
        <v>0.4</v>
      </c>
      <c r="I169" s="14" t="n">
        <f aca="false">F169*H169</f>
        <v>415.356</v>
      </c>
      <c r="J169" s="14" t="n">
        <f aca="false">F169-I169</f>
        <v>623.034</v>
      </c>
    </row>
    <row r="170" customFormat="false" ht="15" hidden="false" customHeight="false" outlineLevel="0" collapsed="false">
      <c r="A170" s="6" t="s">
        <v>128</v>
      </c>
      <c r="B170" s="6" t="s">
        <v>92</v>
      </c>
      <c r="C170" s="6" t="s">
        <v>75</v>
      </c>
      <c r="D170" s="6" t="s">
        <v>136</v>
      </c>
      <c r="E170" s="12" t="n">
        <v>0</v>
      </c>
      <c r="F170" s="13" t="n">
        <v>174</v>
      </c>
      <c r="G170" s="5" t="str">
        <f aca="false">INDEX(Merchant_Map!$E$5:$E$24,MATCH(B170,Merchant_Map!$A$5:$A$24,0))</f>
        <v>Partner Alpha</v>
      </c>
      <c r="H170" s="11" t="n">
        <f aca="false">INDEX(Merchant_Map!$G$5:$G$24,MATCH(B170,Merchant_Map!$A$5:$A$24,0))</f>
        <v>0.4</v>
      </c>
      <c r="I170" s="14" t="n">
        <f aca="false">F170*H170</f>
        <v>69.6</v>
      </c>
      <c r="J170" s="14" t="n">
        <f aca="false">F170-I170</f>
        <v>104.4</v>
      </c>
    </row>
    <row r="171" customFormat="false" ht="15" hidden="false" customHeight="false" outlineLevel="0" collapsed="false">
      <c r="A171" s="6" t="s">
        <v>129</v>
      </c>
      <c r="B171" s="6" t="s">
        <v>92</v>
      </c>
      <c r="C171" s="6" t="s">
        <v>74</v>
      </c>
      <c r="D171" s="6" t="s">
        <v>124</v>
      </c>
      <c r="E171" s="12" t="n">
        <v>237305</v>
      </c>
      <c r="F171" s="13" t="n">
        <v>972.95</v>
      </c>
      <c r="G171" s="5" t="str">
        <f aca="false">INDEX(Merchant_Map!$E$5:$E$24,MATCH(B171,Merchant_Map!$A$5:$A$24,0))</f>
        <v>Partner Alpha</v>
      </c>
      <c r="H171" s="11" t="n">
        <f aca="false">INDEX(Merchant_Map!$G$5:$G$24,MATCH(B171,Merchant_Map!$A$5:$A$24,0))</f>
        <v>0.4</v>
      </c>
      <c r="I171" s="14" t="n">
        <f aca="false">F171*H171</f>
        <v>389.18</v>
      </c>
      <c r="J171" s="14" t="n">
        <f aca="false">F171-I171</f>
        <v>583.77</v>
      </c>
    </row>
    <row r="172" customFormat="false" ht="15" hidden="false" customHeight="false" outlineLevel="0" collapsed="false">
      <c r="A172" s="6" t="s">
        <v>129</v>
      </c>
      <c r="B172" s="6" t="s">
        <v>92</v>
      </c>
      <c r="C172" s="6" t="s">
        <v>75</v>
      </c>
      <c r="D172" s="6" t="s">
        <v>136</v>
      </c>
      <c r="E172" s="12" t="n">
        <v>0</v>
      </c>
      <c r="F172" s="13" t="n">
        <v>164.6</v>
      </c>
      <c r="G172" s="5" t="str">
        <f aca="false">INDEX(Merchant_Map!$E$5:$E$24,MATCH(B172,Merchant_Map!$A$5:$A$24,0))</f>
        <v>Partner Alpha</v>
      </c>
      <c r="H172" s="11" t="n">
        <f aca="false">INDEX(Merchant_Map!$G$5:$G$24,MATCH(B172,Merchant_Map!$A$5:$A$24,0))</f>
        <v>0.4</v>
      </c>
      <c r="I172" s="14" t="n">
        <f aca="false">F172*H172</f>
        <v>65.84</v>
      </c>
      <c r="J172" s="14" t="n">
        <f aca="false">F172-I172</f>
        <v>98.76</v>
      </c>
    </row>
    <row r="173" customFormat="false" ht="15" hidden="false" customHeight="false" outlineLevel="0" collapsed="false">
      <c r="A173" s="6" t="s">
        <v>130</v>
      </c>
      <c r="B173" s="6" t="s">
        <v>92</v>
      </c>
      <c r="C173" s="6" t="s">
        <v>74</v>
      </c>
      <c r="D173" s="6" t="s">
        <v>124</v>
      </c>
      <c r="E173" s="12" t="n">
        <v>250616</v>
      </c>
      <c r="F173" s="13" t="n">
        <v>1027.53</v>
      </c>
      <c r="G173" s="5" t="str">
        <f aca="false">INDEX(Merchant_Map!$E$5:$E$24,MATCH(B173,Merchant_Map!$A$5:$A$24,0))</f>
        <v>Partner Alpha</v>
      </c>
      <c r="H173" s="11" t="n">
        <f aca="false">INDEX(Merchant_Map!$G$5:$G$24,MATCH(B173,Merchant_Map!$A$5:$A$24,0))</f>
        <v>0.4</v>
      </c>
      <c r="I173" s="14" t="n">
        <f aca="false">F173*H173</f>
        <v>411.012</v>
      </c>
      <c r="J173" s="14" t="n">
        <f aca="false">F173-I173</f>
        <v>616.518</v>
      </c>
    </row>
    <row r="174" customFormat="false" ht="15" hidden="false" customHeight="false" outlineLevel="0" collapsed="false">
      <c r="A174" s="6" t="s">
        <v>130</v>
      </c>
      <c r="B174" s="6" t="s">
        <v>92</v>
      </c>
      <c r="C174" s="6" t="s">
        <v>75</v>
      </c>
      <c r="D174" s="6" t="s">
        <v>136</v>
      </c>
      <c r="E174" s="12" t="n">
        <v>0</v>
      </c>
      <c r="F174" s="13" t="n">
        <v>172.4</v>
      </c>
      <c r="G174" s="5" t="str">
        <f aca="false">INDEX(Merchant_Map!$E$5:$E$24,MATCH(B174,Merchant_Map!$A$5:$A$24,0))</f>
        <v>Partner Alpha</v>
      </c>
      <c r="H174" s="11" t="n">
        <f aca="false">INDEX(Merchant_Map!$G$5:$G$24,MATCH(B174,Merchant_Map!$A$5:$A$24,0))</f>
        <v>0.4</v>
      </c>
      <c r="I174" s="14" t="n">
        <f aca="false">F174*H174</f>
        <v>68.96</v>
      </c>
      <c r="J174" s="14" t="n">
        <f aca="false">F174-I174</f>
        <v>103.44</v>
      </c>
    </row>
    <row r="175" customFormat="false" ht="15" hidden="false" customHeight="false" outlineLevel="0" collapsed="false">
      <c r="A175" s="6" t="s">
        <v>131</v>
      </c>
      <c r="B175" s="6" t="s">
        <v>92</v>
      </c>
      <c r="C175" s="6" t="s">
        <v>74</v>
      </c>
      <c r="D175" s="6" t="s">
        <v>124</v>
      </c>
      <c r="E175" s="12" t="n">
        <v>255898</v>
      </c>
      <c r="F175" s="13" t="n">
        <v>1049.18</v>
      </c>
      <c r="G175" s="5" t="str">
        <f aca="false">INDEX(Merchant_Map!$E$5:$E$24,MATCH(B175,Merchant_Map!$A$5:$A$24,0))</f>
        <v>Partner Alpha</v>
      </c>
      <c r="H175" s="11" t="n">
        <f aca="false">INDEX(Merchant_Map!$G$5:$G$24,MATCH(B175,Merchant_Map!$A$5:$A$24,0))</f>
        <v>0.4</v>
      </c>
      <c r="I175" s="14" t="n">
        <f aca="false">F175*H175</f>
        <v>419.672</v>
      </c>
      <c r="J175" s="14" t="n">
        <f aca="false">F175-I175</f>
        <v>629.508</v>
      </c>
    </row>
    <row r="176" customFormat="false" ht="15" hidden="false" customHeight="false" outlineLevel="0" collapsed="false">
      <c r="A176" s="6" t="s">
        <v>131</v>
      </c>
      <c r="B176" s="6" t="s">
        <v>92</v>
      </c>
      <c r="C176" s="6" t="s">
        <v>75</v>
      </c>
      <c r="D176" s="6" t="s">
        <v>136</v>
      </c>
      <c r="E176" s="12" t="n">
        <v>0</v>
      </c>
      <c r="F176" s="13" t="n">
        <v>175.55</v>
      </c>
      <c r="G176" s="5" t="str">
        <f aca="false">INDEX(Merchant_Map!$E$5:$E$24,MATCH(B176,Merchant_Map!$A$5:$A$24,0))</f>
        <v>Partner Alpha</v>
      </c>
      <c r="H176" s="11" t="n">
        <f aca="false">INDEX(Merchant_Map!$G$5:$G$24,MATCH(B176,Merchant_Map!$A$5:$A$24,0))</f>
        <v>0.4</v>
      </c>
      <c r="I176" s="14" t="n">
        <f aca="false">F176*H176</f>
        <v>70.22</v>
      </c>
      <c r="J176" s="14" t="n">
        <f aca="false">F176-I176</f>
        <v>105.33</v>
      </c>
    </row>
    <row r="177" customFormat="false" ht="15" hidden="false" customHeight="false" outlineLevel="0" collapsed="false">
      <c r="A177" s="6" t="s">
        <v>132</v>
      </c>
      <c r="B177" s="6" t="s">
        <v>92</v>
      </c>
      <c r="C177" s="6" t="s">
        <v>74</v>
      </c>
      <c r="D177" s="6" t="s">
        <v>124</v>
      </c>
      <c r="E177" s="12" t="n">
        <v>250173</v>
      </c>
      <c r="F177" s="13" t="n">
        <v>1025.71</v>
      </c>
      <c r="G177" s="5" t="str">
        <f aca="false">INDEX(Merchant_Map!$E$5:$E$24,MATCH(B177,Merchant_Map!$A$5:$A$24,0))</f>
        <v>Partner Alpha</v>
      </c>
      <c r="H177" s="11" t="n">
        <f aca="false">INDEX(Merchant_Map!$G$5:$G$24,MATCH(B177,Merchant_Map!$A$5:$A$24,0))</f>
        <v>0.4</v>
      </c>
      <c r="I177" s="14" t="n">
        <f aca="false">F177*H177</f>
        <v>410.284</v>
      </c>
      <c r="J177" s="14" t="n">
        <f aca="false">F177-I177</f>
        <v>615.426</v>
      </c>
    </row>
    <row r="178" customFormat="false" ht="15" hidden="false" customHeight="false" outlineLevel="0" collapsed="false">
      <c r="A178" s="6" t="s">
        <v>132</v>
      </c>
      <c r="B178" s="6" t="s">
        <v>92</v>
      </c>
      <c r="C178" s="6" t="s">
        <v>75</v>
      </c>
      <c r="D178" s="6" t="s">
        <v>136</v>
      </c>
      <c r="E178" s="12" t="n">
        <v>0</v>
      </c>
      <c r="F178" s="13" t="n">
        <v>172.15</v>
      </c>
      <c r="G178" s="5" t="str">
        <f aca="false">INDEX(Merchant_Map!$E$5:$E$24,MATCH(B178,Merchant_Map!$A$5:$A$24,0))</f>
        <v>Partner Alpha</v>
      </c>
      <c r="H178" s="11" t="n">
        <f aca="false">INDEX(Merchant_Map!$G$5:$G$24,MATCH(B178,Merchant_Map!$A$5:$A$24,0))</f>
        <v>0.4</v>
      </c>
      <c r="I178" s="14" t="n">
        <f aca="false">F178*H178</f>
        <v>68.86</v>
      </c>
      <c r="J178" s="14" t="n">
        <f aca="false">F178-I178</f>
        <v>103.29</v>
      </c>
    </row>
    <row r="179" customFormat="false" ht="15" hidden="false" customHeight="false" outlineLevel="0" collapsed="false">
      <c r="A179" s="6" t="s">
        <v>133</v>
      </c>
      <c r="B179" s="6" t="s">
        <v>92</v>
      </c>
      <c r="C179" s="6" t="s">
        <v>74</v>
      </c>
      <c r="D179" s="6" t="s">
        <v>124</v>
      </c>
      <c r="E179" s="12" t="n">
        <v>272163</v>
      </c>
      <c r="F179" s="13" t="n">
        <v>1115.87</v>
      </c>
      <c r="G179" s="5" t="str">
        <f aca="false">INDEX(Merchant_Map!$E$5:$E$24,MATCH(B179,Merchant_Map!$A$5:$A$24,0))</f>
        <v>Partner Alpha</v>
      </c>
      <c r="H179" s="11" t="n">
        <f aca="false">INDEX(Merchant_Map!$G$5:$G$24,MATCH(B179,Merchant_Map!$A$5:$A$24,0))</f>
        <v>0.4</v>
      </c>
      <c r="I179" s="14" t="n">
        <f aca="false">F179*H179</f>
        <v>446.348</v>
      </c>
      <c r="J179" s="14" t="n">
        <f aca="false">F179-I179</f>
        <v>669.522</v>
      </c>
    </row>
    <row r="180" customFormat="false" ht="15" hidden="false" customHeight="false" outlineLevel="0" collapsed="false">
      <c r="A180" s="6" t="s">
        <v>133</v>
      </c>
      <c r="B180" s="6" t="s">
        <v>92</v>
      </c>
      <c r="C180" s="6" t="s">
        <v>75</v>
      </c>
      <c r="D180" s="6" t="s">
        <v>136</v>
      </c>
      <c r="E180" s="12" t="n">
        <v>0</v>
      </c>
      <c r="F180" s="13" t="n">
        <v>185.1</v>
      </c>
      <c r="G180" s="5" t="str">
        <f aca="false">INDEX(Merchant_Map!$E$5:$E$24,MATCH(B180,Merchant_Map!$A$5:$A$24,0))</f>
        <v>Partner Alpha</v>
      </c>
      <c r="H180" s="11" t="n">
        <f aca="false">INDEX(Merchant_Map!$G$5:$G$24,MATCH(B180,Merchant_Map!$A$5:$A$24,0))</f>
        <v>0.4</v>
      </c>
      <c r="I180" s="14" t="n">
        <f aca="false">F180*H180</f>
        <v>74.04</v>
      </c>
      <c r="J180" s="14" t="n">
        <f aca="false">F180-I180</f>
        <v>111.06</v>
      </c>
    </row>
    <row r="181" customFormat="false" ht="15" hidden="false" customHeight="false" outlineLevel="0" collapsed="false">
      <c r="A181" s="6" t="s">
        <v>134</v>
      </c>
      <c r="B181" s="6" t="s">
        <v>92</v>
      </c>
      <c r="C181" s="6" t="s">
        <v>74</v>
      </c>
      <c r="D181" s="6" t="s">
        <v>124</v>
      </c>
      <c r="E181" s="12" t="n">
        <v>261214</v>
      </c>
      <c r="F181" s="13" t="n">
        <v>1070.98</v>
      </c>
      <c r="G181" s="5" t="str">
        <f aca="false">INDEX(Merchant_Map!$E$5:$E$24,MATCH(B181,Merchant_Map!$A$5:$A$24,0))</f>
        <v>Partner Alpha</v>
      </c>
      <c r="H181" s="11" t="n">
        <f aca="false">INDEX(Merchant_Map!$G$5:$G$24,MATCH(B181,Merchant_Map!$A$5:$A$24,0))</f>
        <v>0.4</v>
      </c>
      <c r="I181" s="14" t="n">
        <f aca="false">F181*H181</f>
        <v>428.392</v>
      </c>
      <c r="J181" s="14" t="n">
        <f aca="false">F181-I181</f>
        <v>642.588</v>
      </c>
    </row>
    <row r="182" customFormat="false" ht="15" hidden="false" customHeight="false" outlineLevel="0" collapsed="false">
      <c r="A182" s="6" t="s">
        <v>134</v>
      </c>
      <c r="B182" s="6" t="s">
        <v>92</v>
      </c>
      <c r="C182" s="6" t="s">
        <v>75</v>
      </c>
      <c r="D182" s="6" t="s">
        <v>136</v>
      </c>
      <c r="E182" s="12" t="n">
        <v>0</v>
      </c>
      <c r="F182" s="13" t="n">
        <v>178.65</v>
      </c>
      <c r="G182" s="5" t="str">
        <f aca="false">INDEX(Merchant_Map!$E$5:$E$24,MATCH(B182,Merchant_Map!$A$5:$A$24,0))</f>
        <v>Partner Alpha</v>
      </c>
      <c r="H182" s="11" t="n">
        <f aca="false">INDEX(Merchant_Map!$G$5:$G$24,MATCH(B182,Merchant_Map!$A$5:$A$24,0))</f>
        <v>0.4</v>
      </c>
      <c r="I182" s="14" t="n">
        <f aca="false">F182*H182</f>
        <v>71.46</v>
      </c>
      <c r="J182" s="14" t="n">
        <f aca="false">F182-I182</f>
        <v>107.19</v>
      </c>
    </row>
    <row r="183" customFormat="false" ht="15" hidden="false" customHeight="false" outlineLevel="0" collapsed="false">
      <c r="A183" s="6" t="s">
        <v>135</v>
      </c>
      <c r="B183" s="6" t="s">
        <v>92</v>
      </c>
      <c r="C183" s="6" t="s">
        <v>74</v>
      </c>
      <c r="D183" s="6" t="s">
        <v>124</v>
      </c>
      <c r="E183" s="12" t="n">
        <v>257582</v>
      </c>
      <c r="F183" s="13" t="n">
        <v>1056.09</v>
      </c>
      <c r="G183" s="5" t="str">
        <f aca="false">INDEX(Merchant_Map!$E$5:$E$24,MATCH(B183,Merchant_Map!$A$5:$A$24,0))</f>
        <v>Partner Alpha</v>
      </c>
      <c r="H183" s="11" t="n">
        <f aca="false">INDEX(Merchant_Map!$G$5:$G$24,MATCH(B183,Merchant_Map!$A$5:$A$24,0))</f>
        <v>0.4</v>
      </c>
      <c r="I183" s="14" t="n">
        <f aca="false">F183*H183</f>
        <v>422.436</v>
      </c>
      <c r="J183" s="14" t="n">
        <f aca="false">F183-I183</f>
        <v>633.654</v>
      </c>
    </row>
    <row r="184" customFormat="false" ht="15" hidden="false" customHeight="false" outlineLevel="0" collapsed="false">
      <c r="A184" s="6" t="s">
        <v>135</v>
      </c>
      <c r="B184" s="6" t="s">
        <v>92</v>
      </c>
      <c r="C184" s="6" t="s">
        <v>75</v>
      </c>
      <c r="D184" s="6" t="s">
        <v>136</v>
      </c>
      <c r="E184" s="12" t="n">
        <v>0</v>
      </c>
      <c r="F184" s="13" t="n">
        <v>176.5</v>
      </c>
      <c r="G184" s="5" t="str">
        <f aca="false">INDEX(Merchant_Map!$E$5:$E$24,MATCH(B184,Merchant_Map!$A$5:$A$24,0))</f>
        <v>Partner Alpha</v>
      </c>
      <c r="H184" s="11" t="n">
        <f aca="false">INDEX(Merchant_Map!$G$5:$G$24,MATCH(B184,Merchant_Map!$A$5:$A$24,0))</f>
        <v>0.4</v>
      </c>
      <c r="I184" s="14" t="n">
        <f aca="false">F184*H184</f>
        <v>70.6</v>
      </c>
      <c r="J184" s="14" t="n">
        <f aca="false">F184-I184</f>
        <v>105.9</v>
      </c>
    </row>
    <row r="185" customFormat="false" ht="15" hidden="false" customHeight="false" outlineLevel="0" collapsed="false">
      <c r="A185" s="6" t="s">
        <v>123</v>
      </c>
      <c r="B185" s="6" t="s">
        <v>94</v>
      </c>
      <c r="C185" s="6" t="s">
        <v>78</v>
      </c>
      <c r="D185" s="6" t="s">
        <v>124</v>
      </c>
      <c r="E185" s="12" t="n">
        <v>589768</v>
      </c>
      <c r="F185" s="13" t="n">
        <v>2830.89</v>
      </c>
      <c r="G185" s="5" t="str">
        <f aca="false">INDEX(Merchant_Map!$E$5:$E$24,MATCH(B185,Merchant_Map!$A$5:$A$24,0))</f>
        <v>Partner Alpha</v>
      </c>
      <c r="H185" s="11" t="n">
        <f aca="false">INDEX(Merchant_Map!$G$5:$G$24,MATCH(B185,Merchant_Map!$A$5:$A$24,0))</f>
        <v>0.4</v>
      </c>
      <c r="I185" s="14" t="n">
        <f aca="false">F185*H185</f>
        <v>1132.356</v>
      </c>
      <c r="J185" s="14" t="n">
        <f aca="false">F185-I185</f>
        <v>1698.534</v>
      </c>
    </row>
    <row r="186" customFormat="false" ht="15" hidden="false" customHeight="false" outlineLevel="0" collapsed="false">
      <c r="A186" s="6" t="s">
        <v>125</v>
      </c>
      <c r="B186" s="6" t="s">
        <v>94</v>
      </c>
      <c r="C186" s="6" t="s">
        <v>78</v>
      </c>
      <c r="D186" s="6" t="s">
        <v>124</v>
      </c>
      <c r="E186" s="12" t="n">
        <v>610435</v>
      </c>
      <c r="F186" s="13" t="n">
        <v>2930.09</v>
      </c>
      <c r="G186" s="5" t="str">
        <f aca="false">INDEX(Merchant_Map!$E$5:$E$24,MATCH(B186,Merchant_Map!$A$5:$A$24,0))</f>
        <v>Partner Alpha</v>
      </c>
      <c r="H186" s="11" t="n">
        <f aca="false">INDEX(Merchant_Map!$G$5:$G$24,MATCH(B186,Merchant_Map!$A$5:$A$24,0))</f>
        <v>0.4</v>
      </c>
      <c r="I186" s="14" t="n">
        <f aca="false">F186*H186</f>
        <v>1172.036</v>
      </c>
      <c r="J186" s="14" t="n">
        <f aca="false">F186-I186</f>
        <v>1758.054</v>
      </c>
    </row>
    <row r="187" customFormat="false" ht="15" hidden="false" customHeight="false" outlineLevel="0" collapsed="false">
      <c r="A187" s="6" t="s">
        <v>126</v>
      </c>
      <c r="B187" s="6" t="s">
        <v>94</v>
      </c>
      <c r="C187" s="6" t="s">
        <v>78</v>
      </c>
      <c r="D187" s="6" t="s">
        <v>124</v>
      </c>
      <c r="E187" s="12" t="n">
        <v>579613</v>
      </c>
      <c r="F187" s="13" t="n">
        <v>2782.14</v>
      </c>
      <c r="G187" s="5" t="str">
        <f aca="false">INDEX(Merchant_Map!$E$5:$E$24,MATCH(B187,Merchant_Map!$A$5:$A$24,0))</f>
        <v>Partner Alpha</v>
      </c>
      <c r="H187" s="11" t="n">
        <f aca="false">INDEX(Merchant_Map!$G$5:$G$24,MATCH(B187,Merchant_Map!$A$5:$A$24,0))</f>
        <v>0.4</v>
      </c>
      <c r="I187" s="14" t="n">
        <f aca="false">F187*H187</f>
        <v>1112.856</v>
      </c>
      <c r="J187" s="14" t="n">
        <f aca="false">F187-I187</f>
        <v>1669.284</v>
      </c>
    </row>
    <row r="188" customFormat="false" ht="15" hidden="false" customHeight="false" outlineLevel="0" collapsed="false">
      <c r="A188" s="6" t="s">
        <v>127</v>
      </c>
      <c r="B188" s="6" t="s">
        <v>94</v>
      </c>
      <c r="C188" s="6" t="s">
        <v>78</v>
      </c>
      <c r="D188" s="6" t="s">
        <v>124</v>
      </c>
      <c r="E188" s="12" t="n">
        <v>594641</v>
      </c>
      <c r="F188" s="13" t="n">
        <v>2854.28</v>
      </c>
      <c r="G188" s="5" t="str">
        <f aca="false">INDEX(Merchant_Map!$E$5:$E$24,MATCH(B188,Merchant_Map!$A$5:$A$24,0))</f>
        <v>Partner Alpha</v>
      </c>
      <c r="H188" s="11" t="n">
        <f aca="false">INDEX(Merchant_Map!$G$5:$G$24,MATCH(B188,Merchant_Map!$A$5:$A$24,0))</f>
        <v>0.4</v>
      </c>
      <c r="I188" s="14" t="n">
        <f aca="false">F188*H188</f>
        <v>1141.712</v>
      </c>
      <c r="J188" s="14" t="n">
        <f aca="false">F188-I188</f>
        <v>1712.568</v>
      </c>
    </row>
    <row r="189" customFormat="false" ht="15" hidden="false" customHeight="false" outlineLevel="0" collapsed="false">
      <c r="A189" s="6" t="s">
        <v>128</v>
      </c>
      <c r="B189" s="6" t="s">
        <v>94</v>
      </c>
      <c r="C189" s="6" t="s">
        <v>78</v>
      </c>
      <c r="D189" s="6" t="s">
        <v>124</v>
      </c>
      <c r="E189" s="12" t="n">
        <v>652270</v>
      </c>
      <c r="F189" s="13" t="n">
        <v>3130.9</v>
      </c>
      <c r="G189" s="5" t="str">
        <f aca="false">INDEX(Merchant_Map!$E$5:$E$24,MATCH(B189,Merchant_Map!$A$5:$A$24,0))</f>
        <v>Partner Alpha</v>
      </c>
      <c r="H189" s="11" t="n">
        <f aca="false">INDEX(Merchant_Map!$G$5:$G$24,MATCH(B189,Merchant_Map!$A$5:$A$24,0))</f>
        <v>0.4</v>
      </c>
      <c r="I189" s="14" t="n">
        <f aca="false">F189*H189</f>
        <v>1252.36</v>
      </c>
      <c r="J189" s="14" t="n">
        <f aca="false">F189-I189</f>
        <v>1878.54</v>
      </c>
    </row>
    <row r="190" customFormat="false" ht="15" hidden="false" customHeight="false" outlineLevel="0" collapsed="false">
      <c r="A190" s="6" t="s">
        <v>129</v>
      </c>
      <c r="B190" s="6" t="s">
        <v>94</v>
      </c>
      <c r="C190" s="6" t="s">
        <v>78</v>
      </c>
      <c r="D190" s="6" t="s">
        <v>124</v>
      </c>
      <c r="E190" s="12" t="n">
        <v>634282</v>
      </c>
      <c r="F190" s="13" t="n">
        <v>3044.55</v>
      </c>
      <c r="G190" s="5" t="str">
        <f aca="false">INDEX(Merchant_Map!$E$5:$E$24,MATCH(B190,Merchant_Map!$A$5:$A$24,0))</f>
        <v>Partner Alpha</v>
      </c>
      <c r="H190" s="11" t="n">
        <f aca="false">INDEX(Merchant_Map!$G$5:$G$24,MATCH(B190,Merchant_Map!$A$5:$A$24,0))</f>
        <v>0.4</v>
      </c>
      <c r="I190" s="14" t="n">
        <f aca="false">F190*H190</f>
        <v>1217.82</v>
      </c>
      <c r="J190" s="14" t="n">
        <f aca="false">F190-I190</f>
        <v>1826.73</v>
      </c>
    </row>
    <row r="191" customFormat="false" ht="15" hidden="false" customHeight="false" outlineLevel="0" collapsed="false">
      <c r="A191" s="6" t="s">
        <v>130</v>
      </c>
      <c r="B191" s="6" t="s">
        <v>94</v>
      </c>
      <c r="C191" s="6" t="s">
        <v>78</v>
      </c>
      <c r="D191" s="6" t="s">
        <v>124</v>
      </c>
      <c r="E191" s="12" t="n">
        <v>625869</v>
      </c>
      <c r="F191" s="13" t="n">
        <v>3004.17</v>
      </c>
      <c r="G191" s="5" t="str">
        <f aca="false">INDEX(Merchant_Map!$E$5:$E$24,MATCH(B191,Merchant_Map!$A$5:$A$24,0))</f>
        <v>Partner Alpha</v>
      </c>
      <c r="H191" s="11" t="n">
        <f aca="false">INDEX(Merchant_Map!$G$5:$G$24,MATCH(B191,Merchant_Map!$A$5:$A$24,0))</f>
        <v>0.4</v>
      </c>
      <c r="I191" s="14" t="n">
        <f aca="false">F191*H191</f>
        <v>1201.668</v>
      </c>
      <c r="J191" s="14" t="n">
        <f aca="false">F191-I191</f>
        <v>1802.502</v>
      </c>
    </row>
    <row r="192" customFormat="false" ht="15" hidden="false" customHeight="false" outlineLevel="0" collapsed="false">
      <c r="A192" s="6" t="s">
        <v>131</v>
      </c>
      <c r="B192" s="6" t="s">
        <v>94</v>
      </c>
      <c r="C192" s="6" t="s">
        <v>78</v>
      </c>
      <c r="D192" s="6" t="s">
        <v>124</v>
      </c>
      <c r="E192" s="12" t="n">
        <v>639465</v>
      </c>
      <c r="F192" s="13" t="n">
        <v>3069.43</v>
      </c>
      <c r="G192" s="5" t="str">
        <f aca="false">INDEX(Merchant_Map!$E$5:$E$24,MATCH(B192,Merchant_Map!$A$5:$A$24,0))</f>
        <v>Partner Alpha</v>
      </c>
      <c r="H192" s="11" t="n">
        <f aca="false">INDEX(Merchant_Map!$G$5:$G$24,MATCH(B192,Merchant_Map!$A$5:$A$24,0))</f>
        <v>0.4</v>
      </c>
      <c r="I192" s="14" t="n">
        <f aca="false">F192*H192</f>
        <v>1227.772</v>
      </c>
      <c r="J192" s="14" t="n">
        <f aca="false">F192-I192</f>
        <v>1841.658</v>
      </c>
    </row>
    <row r="193" customFormat="false" ht="15" hidden="false" customHeight="false" outlineLevel="0" collapsed="false">
      <c r="A193" s="6" t="s">
        <v>132</v>
      </c>
      <c r="B193" s="6" t="s">
        <v>94</v>
      </c>
      <c r="C193" s="6" t="s">
        <v>78</v>
      </c>
      <c r="D193" s="6" t="s">
        <v>124</v>
      </c>
      <c r="E193" s="12" t="n">
        <v>616407</v>
      </c>
      <c r="F193" s="13" t="n">
        <v>2958.75</v>
      </c>
      <c r="G193" s="5" t="str">
        <f aca="false">INDEX(Merchant_Map!$E$5:$E$24,MATCH(B193,Merchant_Map!$A$5:$A$24,0))</f>
        <v>Partner Alpha</v>
      </c>
      <c r="H193" s="11" t="n">
        <f aca="false">INDEX(Merchant_Map!$G$5:$G$24,MATCH(B193,Merchant_Map!$A$5:$A$24,0))</f>
        <v>0.4</v>
      </c>
      <c r="I193" s="14" t="n">
        <f aca="false">F193*H193</f>
        <v>1183.5</v>
      </c>
      <c r="J193" s="14" t="n">
        <f aca="false">F193-I193</f>
        <v>1775.25</v>
      </c>
    </row>
    <row r="194" customFormat="false" ht="15" hidden="false" customHeight="false" outlineLevel="0" collapsed="false">
      <c r="A194" s="6" t="s">
        <v>133</v>
      </c>
      <c r="B194" s="6" t="s">
        <v>94</v>
      </c>
      <c r="C194" s="6" t="s">
        <v>78</v>
      </c>
      <c r="D194" s="6" t="s">
        <v>124</v>
      </c>
      <c r="E194" s="12" t="n">
        <v>631936</v>
      </c>
      <c r="F194" s="13" t="n">
        <v>3033.29</v>
      </c>
      <c r="G194" s="5" t="str">
        <f aca="false">INDEX(Merchant_Map!$E$5:$E$24,MATCH(B194,Merchant_Map!$A$5:$A$24,0))</f>
        <v>Partner Alpha</v>
      </c>
      <c r="H194" s="11" t="n">
        <f aca="false">INDEX(Merchant_Map!$G$5:$G$24,MATCH(B194,Merchant_Map!$A$5:$A$24,0))</f>
        <v>0.4</v>
      </c>
      <c r="I194" s="14" t="n">
        <f aca="false">F194*H194</f>
        <v>1213.316</v>
      </c>
      <c r="J194" s="14" t="n">
        <f aca="false">F194-I194</f>
        <v>1819.974</v>
      </c>
    </row>
    <row r="195" customFormat="false" ht="15" hidden="false" customHeight="false" outlineLevel="0" collapsed="false">
      <c r="A195" s="6" t="s">
        <v>134</v>
      </c>
      <c r="B195" s="6" t="s">
        <v>94</v>
      </c>
      <c r="C195" s="6" t="s">
        <v>78</v>
      </c>
      <c r="D195" s="6" t="s">
        <v>124</v>
      </c>
      <c r="E195" s="12" t="n">
        <v>648518</v>
      </c>
      <c r="F195" s="13" t="n">
        <v>3112.89</v>
      </c>
      <c r="G195" s="5" t="str">
        <f aca="false">INDEX(Merchant_Map!$E$5:$E$24,MATCH(B195,Merchant_Map!$A$5:$A$24,0))</f>
        <v>Partner Alpha</v>
      </c>
      <c r="H195" s="11" t="n">
        <f aca="false">INDEX(Merchant_Map!$G$5:$G$24,MATCH(B195,Merchant_Map!$A$5:$A$24,0))</f>
        <v>0.4</v>
      </c>
      <c r="I195" s="14" t="n">
        <f aca="false">F195*H195</f>
        <v>1245.156</v>
      </c>
      <c r="J195" s="14" t="n">
        <f aca="false">F195-I195</f>
        <v>1867.734</v>
      </c>
    </row>
    <row r="196" customFormat="false" ht="15" hidden="false" customHeight="false" outlineLevel="0" collapsed="false">
      <c r="A196" s="6" t="s">
        <v>135</v>
      </c>
      <c r="B196" s="6" t="s">
        <v>94</v>
      </c>
      <c r="C196" s="6" t="s">
        <v>78</v>
      </c>
      <c r="D196" s="6" t="s">
        <v>124</v>
      </c>
      <c r="E196" s="12" t="n">
        <v>676397</v>
      </c>
      <c r="F196" s="13" t="n">
        <v>3246.71</v>
      </c>
      <c r="G196" s="5" t="str">
        <f aca="false">INDEX(Merchant_Map!$E$5:$E$24,MATCH(B196,Merchant_Map!$A$5:$A$24,0))</f>
        <v>Partner Alpha</v>
      </c>
      <c r="H196" s="11" t="n">
        <f aca="false">INDEX(Merchant_Map!$G$5:$G$24,MATCH(B196,Merchant_Map!$A$5:$A$24,0))</f>
        <v>0.4</v>
      </c>
      <c r="I196" s="14" t="n">
        <f aca="false">F196*H196</f>
        <v>1298.684</v>
      </c>
      <c r="J196" s="14" t="n">
        <f aca="false">F196-I196</f>
        <v>1948.026</v>
      </c>
    </row>
    <row r="197" customFormat="false" ht="15" hidden="false" customHeight="false" outlineLevel="0" collapsed="false">
      <c r="A197" s="6" t="s">
        <v>133</v>
      </c>
      <c r="B197" s="6" t="s">
        <v>96</v>
      </c>
      <c r="C197" s="6" t="s">
        <v>81</v>
      </c>
      <c r="D197" s="6" t="s">
        <v>124</v>
      </c>
      <c r="E197" s="12" t="n">
        <v>997920</v>
      </c>
      <c r="F197" s="13" t="n">
        <v>3592.51</v>
      </c>
      <c r="G197" s="5" t="str">
        <f aca="false">INDEX(Merchant_Map!$E$5:$E$24,MATCH(B197,Merchant_Map!$A$5:$A$24,0))</f>
        <v>Partner Beta</v>
      </c>
      <c r="H197" s="11" t="n">
        <f aca="false">INDEX(Merchant_Map!$G$5:$G$24,MATCH(B197,Merchant_Map!$A$5:$A$24,0))</f>
        <v>0.35</v>
      </c>
      <c r="I197" s="14" t="n">
        <f aca="false">F197*H197</f>
        <v>1257.3785</v>
      </c>
      <c r="J197" s="14" t="n">
        <f aca="false">F197-I197</f>
        <v>2335.1315</v>
      </c>
    </row>
    <row r="198" customFormat="false" ht="15" hidden="false" customHeight="false" outlineLevel="0" collapsed="false">
      <c r="A198" s="6" t="s">
        <v>133</v>
      </c>
      <c r="B198" s="6" t="s">
        <v>96</v>
      </c>
      <c r="C198" s="6" t="s">
        <v>75</v>
      </c>
      <c r="D198" s="6" t="s">
        <v>136</v>
      </c>
      <c r="E198" s="12" t="n">
        <v>0</v>
      </c>
      <c r="F198" s="13" t="n">
        <v>612</v>
      </c>
      <c r="G198" s="5" t="str">
        <f aca="false">INDEX(Merchant_Map!$E$5:$E$24,MATCH(B198,Merchant_Map!$A$5:$A$24,0))</f>
        <v>Partner Beta</v>
      </c>
      <c r="H198" s="11" t="n">
        <f aca="false">INDEX(Merchant_Map!$G$5:$G$24,MATCH(B198,Merchant_Map!$A$5:$A$24,0))</f>
        <v>0.35</v>
      </c>
      <c r="I198" s="14" t="n">
        <f aca="false">F198*H198</f>
        <v>214.2</v>
      </c>
      <c r="J198" s="14" t="n">
        <f aca="false">F198-I198</f>
        <v>397.8</v>
      </c>
    </row>
    <row r="199" customFormat="false" ht="15" hidden="false" customHeight="false" outlineLevel="0" collapsed="false">
      <c r="A199" s="6" t="s">
        <v>134</v>
      </c>
      <c r="B199" s="6" t="s">
        <v>96</v>
      </c>
      <c r="C199" s="6" t="s">
        <v>81</v>
      </c>
      <c r="D199" s="6" t="s">
        <v>124</v>
      </c>
      <c r="E199" s="12" t="n">
        <v>1995840</v>
      </c>
      <c r="F199" s="13" t="n">
        <v>7185.02</v>
      </c>
      <c r="G199" s="5" t="str">
        <f aca="false">INDEX(Merchant_Map!$E$5:$E$24,MATCH(B199,Merchant_Map!$A$5:$A$24,0))</f>
        <v>Partner Beta</v>
      </c>
      <c r="H199" s="11" t="n">
        <f aca="false">INDEX(Merchant_Map!$G$5:$G$24,MATCH(B199,Merchant_Map!$A$5:$A$24,0))</f>
        <v>0.35</v>
      </c>
      <c r="I199" s="14" t="n">
        <f aca="false">F199*H199</f>
        <v>2514.757</v>
      </c>
      <c r="J199" s="14" t="n">
        <f aca="false">F199-I199</f>
        <v>4670.263</v>
      </c>
    </row>
    <row r="200" customFormat="false" ht="15" hidden="false" customHeight="false" outlineLevel="0" collapsed="false">
      <c r="A200" s="6" t="s">
        <v>134</v>
      </c>
      <c r="B200" s="6" t="s">
        <v>96</v>
      </c>
      <c r="C200" s="6" t="s">
        <v>75</v>
      </c>
      <c r="D200" s="6" t="s">
        <v>136</v>
      </c>
      <c r="E200" s="12" t="n">
        <v>0</v>
      </c>
      <c r="F200" s="13" t="n">
        <v>1199</v>
      </c>
      <c r="G200" s="5" t="str">
        <f aca="false">INDEX(Merchant_Map!$E$5:$E$24,MATCH(B200,Merchant_Map!$A$5:$A$24,0))</f>
        <v>Partner Beta</v>
      </c>
      <c r="H200" s="11" t="n">
        <f aca="false">INDEX(Merchant_Map!$G$5:$G$24,MATCH(B200,Merchant_Map!$A$5:$A$24,0))</f>
        <v>0.35</v>
      </c>
      <c r="I200" s="14" t="n">
        <f aca="false">F200*H200</f>
        <v>419.65</v>
      </c>
      <c r="J200" s="14" t="n">
        <f aca="false">F200-I200</f>
        <v>779.35</v>
      </c>
    </row>
    <row r="201" customFormat="false" ht="15" hidden="false" customHeight="false" outlineLevel="0" collapsed="false">
      <c r="A201" s="6" t="s">
        <v>135</v>
      </c>
      <c r="B201" s="6" t="s">
        <v>96</v>
      </c>
      <c r="C201" s="6" t="s">
        <v>81</v>
      </c>
      <c r="D201" s="6" t="s">
        <v>124</v>
      </c>
      <c r="E201" s="12" t="n">
        <v>2851200</v>
      </c>
      <c r="F201" s="13" t="n">
        <v>10264.32</v>
      </c>
      <c r="G201" s="5" t="str">
        <f aca="false">INDEX(Merchant_Map!$E$5:$E$24,MATCH(B201,Merchant_Map!$A$5:$A$24,0))</f>
        <v>Partner Beta</v>
      </c>
      <c r="H201" s="11" t="n">
        <f aca="false">INDEX(Merchant_Map!$G$5:$G$24,MATCH(B201,Merchant_Map!$A$5:$A$24,0))</f>
        <v>0.35</v>
      </c>
      <c r="I201" s="14" t="n">
        <f aca="false">F201*H201</f>
        <v>3592.512</v>
      </c>
      <c r="J201" s="14" t="n">
        <f aca="false">F201-I201</f>
        <v>6671.808</v>
      </c>
    </row>
    <row r="202" customFormat="false" ht="15" hidden="false" customHeight="false" outlineLevel="0" collapsed="false">
      <c r="A202" s="6" t="s">
        <v>135</v>
      </c>
      <c r="B202" s="6" t="s">
        <v>96</v>
      </c>
      <c r="C202" s="6" t="s">
        <v>75</v>
      </c>
      <c r="D202" s="6" t="s">
        <v>136</v>
      </c>
      <c r="E202" s="12" t="n">
        <v>0</v>
      </c>
      <c r="F202" s="13" t="n">
        <v>1702.2</v>
      </c>
      <c r="G202" s="5" t="str">
        <f aca="false">INDEX(Merchant_Map!$E$5:$E$24,MATCH(B202,Merchant_Map!$A$5:$A$24,0))</f>
        <v>Partner Beta</v>
      </c>
      <c r="H202" s="11" t="n">
        <f aca="false">INDEX(Merchant_Map!$G$5:$G$24,MATCH(B202,Merchant_Map!$A$5:$A$24,0))</f>
        <v>0.35</v>
      </c>
      <c r="I202" s="14" t="n">
        <f aca="false">F202*H202</f>
        <v>595.77</v>
      </c>
      <c r="J202" s="14" t="n">
        <f aca="false">F202-I202</f>
        <v>1106.43</v>
      </c>
    </row>
    <row r="203" customFormat="false" ht="15" hidden="false" customHeight="false" outlineLevel="0" collapsed="false">
      <c r="A203" s="6" t="s">
        <v>123</v>
      </c>
      <c r="B203" s="6" t="s">
        <v>98</v>
      </c>
      <c r="C203" s="6" t="s">
        <v>70</v>
      </c>
      <c r="D203" s="6" t="s">
        <v>124</v>
      </c>
      <c r="E203" s="12" t="n">
        <v>640927</v>
      </c>
      <c r="F203" s="13" t="n">
        <v>2307.34</v>
      </c>
      <c r="G203" s="5" t="str">
        <f aca="false">INDEX(Merchant_Map!$E$5:$E$24,MATCH(B203,Merchant_Map!$A$5:$A$24,0))</f>
        <v>House (Direct)</v>
      </c>
      <c r="H203" s="11" t="n">
        <f aca="false">INDEX(Merchant_Map!$G$5:$G$24,MATCH(B203,Merchant_Map!$A$5:$A$24,0))</f>
        <v>0</v>
      </c>
      <c r="I203" s="14" t="n">
        <f aca="false">F203*H203</f>
        <v>0</v>
      </c>
      <c r="J203" s="14" t="n">
        <f aca="false">F203-I203</f>
        <v>2307.34</v>
      </c>
    </row>
    <row r="204" customFormat="false" ht="15" hidden="false" customHeight="false" outlineLevel="0" collapsed="false">
      <c r="A204" s="6" t="s">
        <v>125</v>
      </c>
      <c r="B204" s="6" t="s">
        <v>98</v>
      </c>
      <c r="C204" s="6" t="s">
        <v>70</v>
      </c>
      <c r="D204" s="6" t="s">
        <v>124</v>
      </c>
      <c r="E204" s="12" t="n">
        <v>617801</v>
      </c>
      <c r="F204" s="13" t="n">
        <v>2224.08</v>
      </c>
      <c r="G204" s="5" t="str">
        <f aca="false">INDEX(Merchant_Map!$E$5:$E$24,MATCH(B204,Merchant_Map!$A$5:$A$24,0))</f>
        <v>House (Direct)</v>
      </c>
      <c r="H204" s="11" t="n">
        <f aca="false">INDEX(Merchant_Map!$G$5:$G$24,MATCH(B204,Merchant_Map!$A$5:$A$24,0))</f>
        <v>0</v>
      </c>
      <c r="I204" s="14" t="n">
        <f aca="false">F204*H204</f>
        <v>0</v>
      </c>
      <c r="J204" s="14" t="n">
        <f aca="false">F204-I204</f>
        <v>2224.08</v>
      </c>
    </row>
    <row r="205" customFormat="false" ht="15" hidden="false" customHeight="false" outlineLevel="0" collapsed="false">
      <c r="A205" s="6" t="s">
        <v>126</v>
      </c>
      <c r="B205" s="6" t="s">
        <v>98</v>
      </c>
      <c r="C205" s="6" t="s">
        <v>70</v>
      </c>
      <c r="D205" s="6" t="s">
        <v>124</v>
      </c>
      <c r="E205" s="12" t="n">
        <v>677674</v>
      </c>
      <c r="F205" s="13" t="n">
        <v>2439.63</v>
      </c>
      <c r="G205" s="5" t="str">
        <f aca="false">INDEX(Merchant_Map!$E$5:$E$24,MATCH(B205,Merchant_Map!$A$5:$A$24,0))</f>
        <v>House (Direct)</v>
      </c>
      <c r="H205" s="11" t="n">
        <f aca="false">INDEX(Merchant_Map!$G$5:$G$24,MATCH(B205,Merchant_Map!$A$5:$A$24,0))</f>
        <v>0</v>
      </c>
      <c r="I205" s="14" t="n">
        <f aca="false">F205*H205</f>
        <v>0</v>
      </c>
      <c r="J205" s="14" t="n">
        <f aca="false">F205-I205</f>
        <v>2439.63</v>
      </c>
    </row>
    <row r="206" customFormat="false" ht="15" hidden="false" customHeight="false" outlineLevel="0" collapsed="false">
      <c r="A206" s="6" t="s">
        <v>127</v>
      </c>
      <c r="B206" s="6" t="s">
        <v>98</v>
      </c>
      <c r="C206" s="6" t="s">
        <v>70</v>
      </c>
      <c r="D206" s="6" t="s">
        <v>124</v>
      </c>
      <c r="E206" s="12" t="n">
        <v>682213</v>
      </c>
      <c r="F206" s="13" t="n">
        <v>2455.97</v>
      </c>
      <c r="G206" s="5" t="str">
        <f aca="false">INDEX(Merchant_Map!$E$5:$E$24,MATCH(B206,Merchant_Map!$A$5:$A$24,0))</f>
        <v>House (Direct)</v>
      </c>
      <c r="H206" s="11" t="n">
        <f aca="false">INDEX(Merchant_Map!$G$5:$G$24,MATCH(B206,Merchant_Map!$A$5:$A$24,0))</f>
        <v>0</v>
      </c>
      <c r="I206" s="14" t="n">
        <f aca="false">F206*H206</f>
        <v>0</v>
      </c>
      <c r="J206" s="14" t="n">
        <f aca="false">F206-I206</f>
        <v>2455.97</v>
      </c>
    </row>
    <row r="207" customFormat="false" ht="15" hidden="false" customHeight="false" outlineLevel="0" collapsed="false">
      <c r="A207" s="6" t="s">
        <v>128</v>
      </c>
      <c r="B207" s="6" t="s">
        <v>98</v>
      </c>
      <c r="C207" s="6" t="s">
        <v>70</v>
      </c>
      <c r="D207" s="6" t="s">
        <v>124</v>
      </c>
      <c r="E207" s="12" t="n">
        <v>627755</v>
      </c>
      <c r="F207" s="13" t="n">
        <v>2259.92</v>
      </c>
      <c r="G207" s="5" t="str">
        <f aca="false">INDEX(Merchant_Map!$E$5:$E$24,MATCH(B207,Merchant_Map!$A$5:$A$24,0))</f>
        <v>House (Direct)</v>
      </c>
      <c r="H207" s="11" t="n">
        <f aca="false">INDEX(Merchant_Map!$G$5:$G$24,MATCH(B207,Merchant_Map!$A$5:$A$24,0))</f>
        <v>0</v>
      </c>
      <c r="I207" s="14" t="n">
        <f aca="false">F207*H207</f>
        <v>0</v>
      </c>
      <c r="J207" s="14" t="n">
        <f aca="false">F207-I207</f>
        <v>2259.92</v>
      </c>
    </row>
    <row r="208" customFormat="false" ht="15" hidden="false" customHeight="false" outlineLevel="0" collapsed="false">
      <c r="A208" s="6" t="s">
        <v>129</v>
      </c>
      <c r="B208" s="6" t="s">
        <v>98</v>
      </c>
      <c r="C208" s="6" t="s">
        <v>70</v>
      </c>
      <c r="D208" s="6" t="s">
        <v>124</v>
      </c>
      <c r="E208" s="12" t="n">
        <v>648722</v>
      </c>
      <c r="F208" s="13" t="n">
        <v>2335.4</v>
      </c>
      <c r="G208" s="5" t="str">
        <f aca="false">INDEX(Merchant_Map!$E$5:$E$24,MATCH(B208,Merchant_Map!$A$5:$A$24,0))</f>
        <v>House (Direct)</v>
      </c>
      <c r="H208" s="11" t="n">
        <f aca="false">INDEX(Merchant_Map!$G$5:$G$24,MATCH(B208,Merchant_Map!$A$5:$A$24,0))</f>
        <v>0</v>
      </c>
      <c r="I208" s="14" t="n">
        <f aca="false">F208*H208</f>
        <v>0</v>
      </c>
      <c r="J208" s="14" t="n">
        <f aca="false">F208-I208</f>
        <v>2335.4</v>
      </c>
    </row>
    <row r="209" customFormat="false" ht="15" hidden="false" customHeight="false" outlineLevel="0" collapsed="false">
      <c r="A209" s="6" t="s">
        <v>130</v>
      </c>
      <c r="B209" s="6" t="s">
        <v>98</v>
      </c>
      <c r="C209" s="6" t="s">
        <v>70</v>
      </c>
      <c r="D209" s="6" t="s">
        <v>124</v>
      </c>
      <c r="E209" s="12" t="n">
        <v>691561</v>
      </c>
      <c r="F209" s="13" t="n">
        <v>2489.62</v>
      </c>
      <c r="G209" s="5" t="str">
        <f aca="false">INDEX(Merchant_Map!$E$5:$E$24,MATCH(B209,Merchant_Map!$A$5:$A$24,0))</f>
        <v>House (Direct)</v>
      </c>
      <c r="H209" s="11" t="n">
        <f aca="false">INDEX(Merchant_Map!$G$5:$G$24,MATCH(B209,Merchant_Map!$A$5:$A$24,0))</f>
        <v>0</v>
      </c>
      <c r="I209" s="14" t="n">
        <f aca="false">F209*H209</f>
        <v>0</v>
      </c>
      <c r="J209" s="14" t="n">
        <f aca="false">F209-I209</f>
        <v>2489.62</v>
      </c>
    </row>
    <row r="210" customFormat="false" ht="15" hidden="false" customHeight="false" outlineLevel="0" collapsed="false">
      <c r="A210" s="6" t="s">
        <v>131</v>
      </c>
      <c r="B210" s="6" t="s">
        <v>98</v>
      </c>
      <c r="C210" s="6" t="s">
        <v>70</v>
      </c>
      <c r="D210" s="6" t="s">
        <v>124</v>
      </c>
      <c r="E210" s="12" t="n">
        <v>662428</v>
      </c>
      <c r="F210" s="13" t="n">
        <v>2384.74</v>
      </c>
      <c r="G210" s="5" t="str">
        <f aca="false">INDEX(Merchant_Map!$E$5:$E$24,MATCH(B210,Merchant_Map!$A$5:$A$24,0))</f>
        <v>House (Direct)</v>
      </c>
      <c r="H210" s="11" t="n">
        <f aca="false">INDEX(Merchant_Map!$G$5:$G$24,MATCH(B210,Merchant_Map!$A$5:$A$24,0))</f>
        <v>0</v>
      </c>
      <c r="I210" s="14" t="n">
        <f aca="false">F210*H210</f>
        <v>0</v>
      </c>
      <c r="J210" s="14" t="n">
        <f aca="false">F210-I210</f>
        <v>2384.74</v>
      </c>
    </row>
    <row r="211" customFormat="false" ht="15" hidden="false" customHeight="false" outlineLevel="0" collapsed="false">
      <c r="A211" s="6" t="s">
        <v>132</v>
      </c>
      <c r="B211" s="6" t="s">
        <v>98</v>
      </c>
      <c r="C211" s="6" t="s">
        <v>70</v>
      </c>
      <c r="D211" s="6" t="s">
        <v>124</v>
      </c>
      <c r="E211" s="12" t="n">
        <v>663553</v>
      </c>
      <c r="F211" s="13" t="n">
        <v>2388.79</v>
      </c>
      <c r="G211" s="5" t="str">
        <f aca="false">INDEX(Merchant_Map!$E$5:$E$24,MATCH(B211,Merchant_Map!$A$5:$A$24,0))</f>
        <v>House (Direct)</v>
      </c>
      <c r="H211" s="11" t="n">
        <f aca="false">INDEX(Merchant_Map!$G$5:$G$24,MATCH(B211,Merchant_Map!$A$5:$A$24,0))</f>
        <v>0</v>
      </c>
      <c r="I211" s="14" t="n">
        <f aca="false">F211*H211</f>
        <v>0</v>
      </c>
      <c r="J211" s="14" t="n">
        <f aca="false">F211-I211</f>
        <v>2388.79</v>
      </c>
    </row>
    <row r="212" customFormat="false" ht="15" hidden="false" customHeight="false" outlineLevel="0" collapsed="false">
      <c r="A212" s="6" t="s">
        <v>133</v>
      </c>
      <c r="B212" s="6" t="s">
        <v>98</v>
      </c>
      <c r="C212" s="6" t="s">
        <v>70</v>
      </c>
      <c r="D212" s="6" t="s">
        <v>124</v>
      </c>
      <c r="E212" s="12" t="n">
        <v>739227</v>
      </c>
      <c r="F212" s="13" t="n">
        <v>2661.22</v>
      </c>
      <c r="G212" s="5" t="str">
        <f aca="false">INDEX(Merchant_Map!$E$5:$E$24,MATCH(B212,Merchant_Map!$A$5:$A$24,0))</f>
        <v>House (Direct)</v>
      </c>
      <c r="H212" s="11" t="n">
        <f aca="false">INDEX(Merchant_Map!$G$5:$G$24,MATCH(B212,Merchant_Map!$A$5:$A$24,0))</f>
        <v>0</v>
      </c>
      <c r="I212" s="14" t="n">
        <f aca="false">F212*H212</f>
        <v>0</v>
      </c>
      <c r="J212" s="14" t="n">
        <f aca="false">F212-I212</f>
        <v>2661.22</v>
      </c>
    </row>
    <row r="213" customFormat="false" ht="15" hidden="false" customHeight="false" outlineLevel="0" collapsed="false">
      <c r="A213" s="6" t="s">
        <v>134</v>
      </c>
      <c r="B213" s="6" t="s">
        <v>98</v>
      </c>
      <c r="C213" s="6" t="s">
        <v>70</v>
      </c>
      <c r="D213" s="6" t="s">
        <v>124</v>
      </c>
      <c r="E213" s="12" t="n">
        <v>717003</v>
      </c>
      <c r="F213" s="13" t="n">
        <v>2581.21</v>
      </c>
      <c r="G213" s="5" t="str">
        <f aca="false">INDEX(Merchant_Map!$E$5:$E$24,MATCH(B213,Merchant_Map!$A$5:$A$24,0))</f>
        <v>House (Direct)</v>
      </c>
      <c r="H213" s="11" t="n">
        <f aca="false">INDEX(Merchant_Map!$G$5:$G$24,MATCH(B213,Merchant_Map!$A$5:$A$24,0))</f>
        <v>0</v>
      </c>
      <c r="I213" s="14" t="n">
        <f aca="false">F213*H213</f>
        <v>0</v>
      </c>
      <c r="J213" s="14" t="n">
        <f aca="false">F213-I213</f>
        <v>2581.21</v>
      </c>
    </row>
    <row r="214" customFormat="false" ht="15" hidden="false" customHeight="false" outlineLevel="0" collapsed="false">
      <c r="A214" s="6" t="s">
        <v>135</v>
      </c>
      <c r="B214" s="6" t="s">
        <v>98</v>
      </c>
      <c r="C214" s="6" t="s">
        <v>70</v>
      </c>
      <c r="D214" s="6" t="s">
        <v>124</v>
      </c>
      <c r="E214" s="12" t="n">
        <v>717114</v>
      </c>
      <c r="F214" s="13" t="n">
        <v>2581.61</v>
      </c>
      <c r="G214" s="5" t="str">
        <f aca="false">INDEX(Merchant_Map!$E$5:$E$24,MATCH(B214,Merchant_Map!$A$5:$A$24,0))</f>
        <v>House (Direct)</v>
      </c>
      <c r="H214" s="11" t="n">
        <f aca="false">INDEX(Merchant_Map!$G$5:$G$24,MATCH(B214,Merchant_Map!$A$5:$A$24,0))</f>
        <v>0</v>
      </c>
      <c r="I214" s="14" t="n">
        <f aca="false">F214*H214</f>
        <v>0</v>
      </c>
      <c r="J214" s="14" t="n">
        <f aca="false">F214-I214</f>
        <v>2581.61</v>
      </c>
    </row>
    <row r="215" customFormat="false" ht="15" hidden="false" customHeight="false" outlineLevel="0" collapsed="false">
      <c r="A215" s="6" t="s">
        <v>123</v>
      </c>
      <c r="B215" s="6" t="s">
        <v>100</v>
      </c>
      <c r="C215" s="6" t="s">
        <v>74</v>
      </c>
      <c r="D215" s="6" t="s">
        <v>124</v>
      </c>
      <c r="E215" s="12" t="n">
        <v>1433338</v>
      </c>
      <c r="F215" s="13" t="n">
        <v>4586.68</v>
      </c>
      <c r="G215" s="5" t="str">
        <f aca="false">INDEX(Merchant_Map!$E$5:$E$24,MATCH(B215,Merchant_Map!$A$5:$A$24,0))</f>
        <v>Partner Delta</v>
      </c>
      <c r="H215" s="11" t="n">
        <f aca="false">INDEX(Merchant_Map!$G$5:$G$24,MATCH(B215,Merchant_Map!$A$5:$A$24,0))</f>
        <v>0.3</v>
      </c>
      <c r="I215" s="14" t="n">
        <f aca="false">F215*H215</f>
        <v>1376.004</v>
      </c>
      <c r="J215" s="14" t="n">
        <f aca="false">F215-I215</f>
        <v>3210.676</v>
      </c>
    </row>
    <row r="216" customFormat="false" ht="15" hidden="false" customHeight="false" outlineLevel="0" collapsed="false">
      <c r="A216" s="6" t="s">
        <v>123</v>
      </c>
      <c r="B216" s="6" t="s">
        <v>100</v>
      </c>
      <c r="C216" s="6" t="s">
        <v>75</v>
      </c>
      <c r="D216" s="6" t="s">
        <v>136</v>
      </c>
      <c r="E216" s="12" t="n">
        <v>0</v>
      </c>
      <c r="F216" s="13" t="n">
        <v>868.15</v>
      </c>
      <c r="G216" s="5" t="str">
        <f aca="false">INDEX(Merchant_Map!$E$5:$E$24,MATCH(B216,Merchant_Map!$A$5:$A$24,0))</f>
        <v>Partner Delta</v>
      </c>
      <c r="H216" s="11" t="n">
        <f aca="false">INDEX(Merchant_Map!$G$5:$G$24,MATCH(B216,Merchant_Map!$A$5:$A$24,0))</f>
        <v>0.3</v>
      </c>
      <c r="I216" s="14" t="n">
        <f aca="false">F216*H216</f>
        <v>260.445</v>
      </c>
      <c r="J216" s="14" t="n">
        <f aca="false">F216-I216</f>
        <v>607.705</v>
      </c>
    </row>
    <row r="217" customFormat="false" ht="15" hidden="false" customHeight="false" outlineLevel="0" collapsed="false">
      <c r="A217" s="6" t="s">
        <v>125</v>
      </c>
      <c r="B217" s="6" t="s">
        <v>100</v>
      </c>
      <c r="C217" s="6" t="s">
        <v>74</v>
      </c>
      <c r="D217" s="6" t="s">
        <v>124</v>
      </c>
      <c r="E217" s="12" t="n">
        <v>1454389</v>
      </c>
      <c r="F217" s="13" t="n">
        <v>4654.04</v>
      </c>
      <c r="G217" s="5" t="str">
        <f aca="false">INDEX(Merchant_Map!$E$5:$E$24,MATCH(B217,Merchant_Map!$A$5:$A$24,0))</f>
        <v>Partner Delta</v>
      </c>
      <c r="H217" s="11" t="n">
        <f aca="false">INDEX(Merchant_Map!$G$5:$G$24,MATCH(B217,Merchant_Map!$A$5:$A$24,0))</f>
        <v>0.3</v>
      </c>
      <c r="I217" s="14" t="n">
        <f aca="false">F217*H217</f>
        <v>1396.212</v>
      </c>
      <c r="J217" s="14" t="n">
        <f aca="false">F217-I217</f>
        <v>3257.828</v>
      </c>
    </row>
    <row r="218" customFormat="false" ht="15" hidden="false" customHeight="false" outlineLevel="0" collapsed="false">
      <c r="A218" s="6" t="s">
        <v>125</v>
      </c>
      <c r="B218" s="6" t="s">
        <v>100</v>
      </c>
      <c r="C218" s="6" t="s">
        <v>75</v>
      </c>
      <c r="D218" s="6" t="s">
        <v>136</v>
      </c>
      <c r="E218" s="12" t="n">
        <v>0</v>
      </c>
      <c r="F218" s="13" t="n">
        <v>880.5</v>
      </c>
      <c r="G218" s="5" t="str">
        <f aca="false">INDEX(Merchant_Map!$E$5:$E$24,MATCH(B218,Merchant_Map!$A$5:$A$24,0))</f>
        <v>Partner Delta</v>
      </c>
      <c r="H218" s="11" t="n">
        <f aca="false">INDEX(Merchant_Map!$G$5:$G$24,MATCH(B218,Merchant_Map!$A$5:$A$24,0))</f>
        <v>0.3</v>
      </c>
      <c r="I218" s="14" t="n">
        <f aca="false">F218*H218</f>
        <v>264.15</v>
      </c>
      <c r="J218" s="14" t="n">
        <f aca="false">F218-I218</f>
        <v>616.35</v>
      </c>
    </row>
    <row r="219" customFormat="false" ht="15" hidden="false" customHeight="false" outlineLevel="0" collapsed="false">
      <c r="A219" s="6" t="s">
        <v>126</v>
      </c>
      <c r="B219" s="6" t="s">
        <v>100</v>
      </c>
      <c r="C219" s="6" t="s">
        <v>74</v>
      </c>
      <c r="D219" s="6" t="s">
        <v>124</v>
      </c>
      <c r="E219" s="12" t="n">
        <v>1366729</v>
      </c>
      <c r="F219" s="13" t="n">
        <v>4373.53</v>
      </c>
      <c r="G219" s="5" t="str">
        <f aca="false">INDEX(Merchant_Map!$E$5:$E$24,MATCH(B219,Merchant_Map!$A$5:$A$24,0))</f>
        <v>Partner Delta</v>
      </c>
      <c r="H219" s="11" t="n">
        <f aca="false">INDEX(Merchant_Map!$G$5:$G$24,MATCH(B219,Merchant_Map!$A$5:$A$24,0))</f>
        <v>0.3</v>
      </c>
      <c r="I219" s="14" t="n">
        <f aca="false">F219*H219</f>
        <v>1312.059</v>
      </c>
      <c r="J219" s="14" t="n">
        <f aca="false">F219-I219</f>
        <v>3061.471</v>
      </c>
    </row>
    <row r="220" customFormat="false" ht="15" hidden="false" customHeight="false" outlineLevel="0" collapsed="false">
      <c r="A220" s="6" t="s">
        <v>126</v>
      </c>
      <c r="B220" s="6" t="s">
        <v>100</v>
      </c>
      <c r="C220" s="6" t="s">
        <v>75</v>
      </c>
      <c r="D220" s="6" t="s">
        <v>136</v>
      </c>
      <c r="E220" s="12" t="n">
        <v>0</v>
      </c>
      <c r="F220" s="13" t="n">
        <v>828.95</v>
      </c>
      <c r="G220" s="5" t="str">
        <f aca="false">INDEX(Merchant_Map!$E$5:$E$24,MATCH(B220,Merchant_Map!$A$5:$A$24,0))</f>
        <v>Partner Delta</v>
      </c>
      <c r="H220" s="11" t="n">
        <f aca="false">INDEX(Merchant_Map!$G$5:$G$24,MATCH(B220,Merchant_Map!$A$5:$A$24,0))</f>
        <v>0.3</v>
      </c>
      <c r="I220" s="14" t="n">
        <f aca="false">F220*H220</f>
        <v>248.685</v>
      </c>
      <c r="J220" s="14" t="n">
        <f aca="false">F220-I220</f>
        <v>580.265</v>
      </c>
    </row>
    <row r="221" customFormat="false" ht="15" hidden="false" customHeight="false" outlineLevel="0" collapsed="false">
      <c r="A221" s="6" t="s">
        <v>127</v>
      </c>
      <c r="B221" s="6" t="s">
        <v>100</v>
      </c>
      <c r="C221" s="6" t="s">
        <v>74</v>
      </c>
      <c r="D221" s="6" t="s">
        <v>124</v>
      </c>
      <c r="E221" s="12" t="n">
        <v>1367016</v>
      </c>
      <c r="F221" s="13" t="n">
        <v>4374.45</v>
      </c>
      <c r="G221" s="5" t="str">
        <f aca="false">INDEX(Merchant_Map!$E$5:$E$24,MATCH(B221,Merchant_Map!$A$5:$A$24,0))</f>
        <v>Partner Delta</v>
      </c>
      <c r="H221" s="11" t="n">
        <f aca="false">INDEX(Merchant_Map!$G$5:$G$24,MATCH(B221,Merchant_Map!$A$5:$A$24,0))</f>
        <v>0.3</v>
      </c>
      <c r="I221" s="14" t="n">
        <f aca="false">F221*H221</f>
        <v>1312.335</v>
      </c>
      <c r="J221" s="14" t="n">
        <f aca="false">F221-I221</f>
        <v>3062.115</v>
      </c>
    </row>
    <row r="222" customFormat="false" ht="15" hidden="false" customHeight="false" outlineLevel="0" collapsed="false">
      <c r="A222" s="6" t="s">
        <v>127</v>
      </c>
      <c r="B222" s="6" t="s">
        <v>100</v>
      </c>
      <c r="C222" s="6" t="s">
        <v>75</v>
      </c>
      <c r="D222" s="6" t="s">
        <v>136</v>
      </c>
      <c r="E222" s="12" t="n">
        <v>0</v>
      </c>
      <c r="F222" s="13" t="n">
        <v>829.15</v>
      </c>
      <c r="G222" s="5" t="str">
        <f aca="false">INDEX(Merchant_Map!$E$5:$E$24,MATCH(B222,Merchant_Map!$A$5:$A$24,0))</f>
        <v>Partner Delta</v>
      </c>
      <c r="H222" s="11" t="n">
        <f aca="false">INDEX(Merchant_Map!$G$5:$G$24,MATCH(B222,Merchant_Map!$A$5:$A$24,0))</f>
        <v>0.3</v>
      </c>
      <c r="I222" s="14" t="n">
        <f aca="false">F222*H222</f>
        <v>248.745</v>
      </c>
      <c r="J222" s="14" t="n">
        <f aca="false">F222-I222</f>
        <v>580.405</v>
      </c>
    </row>
    <row r="223" customFormat="false" ht="15" hidden="false" customHeight="false" outlineLevel="0" collapsed="false">
      <c r="A223" s="6" t="s">
        <v>128</v>
      </c>
      <c r="B223" s="6" t="s">
        <v>100</v>
      </c>
      <c r="C223" s="6" t="s">
        <v>74</v>
      </c>
      <c r="D223" s="6" t="s">
        <v>124</v>
      </c>
      <c r="E223" s="12" t="n">
        <v>1441707</v>
      </c>
      <c r="F223" s="13" t="n">
        <v>4613.46</v>
      </c>
      <c r="G223" s="5" t="str">
        <f aca="false">INDEX(Merchant_Map!$E$5:$E$24,MATCH(B223,Merchant_Map!$A$5:$A$24,0))</f>
        <v>Partner Delta</v>
      </c>
      <c r="H223" s="11" t="n">
        <f aca="false">INDEX(Merchant_Map!$G$5:$G$24,MATCH(B223,Merchant_Map!$A$5:$A$24,0))</f>
        <v>0.3</v>
      </c>
      <c r="I223" s="14" t="n">
        <f aca="false">F223*H223</f>
        <v>1384.038</v>
      </c>
      <c r="J223" s="14" t="n">
        <f aca="false">F223-I223</f>
        <v>3229.422</v>
      </c>
    </row>
    <row r="224" customFormat="false" ht="15" hidden="false" customHeight="false" outlineLevel="0" collapsed="false">
      <c r="A224" s="6" t="s">
        <v>128</v>
      </c>
      <c r="B224" s="6" t="s">
        <v>100</v>
      </c>
      <c r="C224" s="6" t="s">
        <v>75</v>
      </c>
      <c r="D224" s="6" t="s">
        <v>136</v>
      </c>
      <c r="E224" s="12" t="n">
        <v>0</v>
      </c>
      <c r="F224" s="13" t="n">
        <v>873.05</v>
      </c>
      <c r="G224" s="5" t="str">
        <f aca="false">INDEX(Merchant_Map!$E$5:$E$24,MATCH(B224,Merchant_Map!$A$5:$A$24,0))</f>
        <v>Partner Delta</v>
      </c>
      <c r="H224" s="11" t="n">
        <f aca="false">INDEX(Merchant_Map!$G$5:$G$24,MATCH(B224,Merchant_Map!$A$5:$A$24,0))</f>
        <v>0.3</v>
      </c>
      <c r="I224" s="14" t="n">
        <f aca="false">F224*H224</f>
        <v>261.915</v>
      </c>
      <c r="J224" s="14" t="n">
        <f aca="false">F224-I224</f>
        <v>611.135</v>
      </c>
    </row>
    <row r="225" customFormat="false" ht="15" hidden="false" customHeight="false" outlineLevel="0" collapsed="false">
      <c r="A225" s="6" t="s">
        <v>129</v>
      </c>
      <c r="B225" s="6" t="s">
        <v>100</v>
      </c>
      <c r="C225" s="6" t="s">
        <v>74</v>
      </c>
      <c r="D225" s="6" t="s">
        <v>124</v>
      </c>
      <c r="E225" s="12" t="n">
        <v>1457688</v>
      </c>
      <c r="F225" s="13" t="n">
        <v>4664.6</v>
      </c>
      <c r="G225" s="5" t="str">
        <f aca="false">INDEX(Merchant_Map!$E$5:$E$24,MATCH(B225,Merchant_Map!$A$5:$A$24,0))</f>
        <v>Partner Delta</v>
      </c>
      <c r="H225" s="11" t="n">
        <f aca="false">INDEX(Merchant_Map!$G$5:$G$24,MATCH(B225,Merchant_Map!$A$5:$A$24,0))</f>
        <v>0.3</v>
      </c>
      <c r="I225" s="14" t="n">
        <f aca="false">F225*H225</f>
        <v>1399.38</v>
      </c>
      <c r="J225" s="14" t="n">
        <f aca="false">F225-I225</f>
        <v>3265.22</v>
      </c>
    </row>
    <row r="226" customFormat="false" ht="15" hidden="false" customHeight="false" outlineLevel="0" collapsed="false">
      <c r="A226" s="6" t="s">
        <v>129</v>
      </c>
      <c r="B226" s="6" t="s">
        <v>100</v>
      </c>
      <c r="C226" s="6" t="s">
        <v>75</v>
      </c>
      <c r="D226" s="6" t="s">
        <v>136</v>
      </c>
      <c r="E226" s="12" t="n">
        <v>0</v>
      </c>
      <c r="F226" s="13" t="n">
        <v>882.45</v>
      </c>
      <c r="G226" s="5" t="str">
        <f aca="false">INDEX(Merchant_Map!$E$5:$E$24,MATCH(B226,Merchant_Map!$A$5:$A$24,0))</f>
        <v>Partner Delta</v>
      </c>
      <c r="H226" s="11" t="n">
        <f aca="false">INDEX(Merchant_Map!$G$5:$G$24,MATCH(B226,Merchant_Map!$A$5:$A$24,0))</f>
        <v>0.3</v>
      </c>
      <c r="I226" s="14" t="n">
        <f aca="false">F226*H226</f>
        <v>264.735</v>
      </c>
      <c r="J226" s="14" t="n">
        <f aca="false">F226-I226</f>
        <v>617.715</v>
      </c>
    </row>
    <row r="227" customFormat="false" ht="15" hidden="false" customHeight="false" outlineLevel="0" collapsed="false">
      <c r="A227" s="6" t="s">
        <v>130</v>
      </c>
      <c r="B227" s="6" t="s">
        <v>100</v>
      </c>
      <c r="C227" s="6" t="s">
        <v>74</v>
      </c>
      <c r="D227" s="6" t="s">
        <v>124</v>
      </c>
      <c r="E227" s="12" t="n">
        <v>1482943</v>
      </c>
      <c r="F227" s="13" t="n">
        <v>4745.42</v>
      </c>
      <c r="G227" s="5" t="str">
        <f aca="false">INDEX(Merchant_Map!$E$5:$E$24,MATCH(B227,Merchant_Map!$A$5:$A$24,0))</f>
        <v>Partner Delta</v>
      </c>
      <c r="H227" s="11" t="n">
        <f aca="false">INDEX(Merchant_Map!$G$5:$G$24,MATCH(B227,Merchant_Map!$A$5:$A$24,0))</f>
        <v>0.3</v>
      </c>
      <c r="I227" s="14" t="n">
        <f aca="false">F227*H227</f>
        <v>1423.626</v>
      </c>
      <c r="J227" s="14" t="n">
        <f aca="false">F227-I227</f>
        <v>3321.794</v>
      </c>
    </row>
    <row r="228" customFormat="false" ht="15" hidden="false" customHeight="false" outlineLevel="0" collapsed="false">
      <c r="A228" s="6" t="s">
        <v>130</v>
      </c>
      <c r="B228" s="6" t="s">
        <v>100</v>
      </c>
      <c r="C228" s="6" t="s">
        <v>75</v>
      </c>
      <c r="D228" s="6" t="s">
        <v>136</v>
      </c>
      <c r="E228" s="12" t="n">
        <v>0</v>
      </c>
      <c r="F228" s="13" t="n">
        <v>897.3</v>
      </c>
      <c r="G228" s="5" t="str">
        <f aca="false">INDEX(Merchant_Map!$E$5:$E$24,MATCH(B228,Merchant_Map!$A$5:$A$24,0))</f>
        <v>Partner Delta</v>
      </c>
      <c r="H228" s="11" t="n">
        <f aca="false">INDEX(Merchant_Map!$G$5:$G$24,MATCH(B228,Merchant_Map!$A$5:$A$24,0))</f>
        <v>0.3</v>
      </c>
      <c r="I228" s="14" t="n">
        <f aca="false">F228*H228</f>
        <v>269.19</v>
      </c>
      <c r="J228" s="14" t="n">
        <f aca="false">F228-I228</f>
        <v>628.11</v>
      </c>
    </row>
    <row r="229" customFormat="false" ht="15" hidden="false" customHeight="false" outlineLevel="0" collapsed="false">
      <c r="A229" s="6" t="s">
        <v>131</v>
      </c>
      <c r="B229" s="6" t="s">
        <v>100</v>
      </c>
      <c r="C229" s="6" t="s">
        <v>74</v>
      </c>
      <c r="D229" s="6" t="s">
        <v>124</v>
      </c>
      <c r="E229" s="12" t="n">
        <v>1548118</v>
      </c>
      <c r="F229" s="13" t="n">
        <v>4953.98</v>
      </c>
      <c r="G229" s="5" t="str">
        <f aca="false">INDEX(Merchant_Map!$E$5:$E$24,MATCH(B229,Merchant_Map!$A$5:$A$24,0))</f>
        <v>Partner Delta</v>
      </c>
      <c r="H229" s="11" t="n">
        <f aca="false">INDEX(Merchant_Map!$G$5:$G$24,MATCH(B229,Merchant_Map!$A$5:$A$24,0))</f>
        <v>0.3</v>
      </c>
      <c r="I229" s="14" t="n">
        <f aca="false">F229*H229</f>
        <v>1486.194</v>
      </c>
      <c r="J229" s="14" t="n">
        <f aca="false">F229-I229</f>
        <v>3467.786</v>
      </c>
    </row>
    <row r="230" customFormat="false" ht="15" hidden="false" customHeight="false" outlineLevel="0" collapsed="false">
      <c r="A230" s="6" t="s">
        <v>131</v>
      </c>
      <c r="B230" s="6" t="s">
        <v>100</v>
      </c>
      <c r="C230" s="6" t="s">
        <v>75</v>
      </c>
      <c r="D230" s="6" t="s">
        <v>136</v>
      </c>
      <c r="E230" s="12" t="n">
        <v>0</v>
      </c>
      <c r="F230" s="13" t="n">
        <v>935.65</v>
      </c>
      <c r="G230" s="5" t="str">
        <f aca="false">INDEX(Merchant_Map!$E$5:$E$24,MATCH(B230,Merchant_Map!$A$5:$A$24,0))</f>
        <v>Partner Delta</v>
      </c>
      <c r="H230" s="11" t="n">
        <f aca="false">INDEX(Merchant_Map!$G$5:$G$24,MATCH(B230,Merchant_Map!$A$5:$A$24,0))</f>
        <v>0.3</v>
      </c>
      <c r="I230" s="14" t="n">
        <f aca="false">F230*H230</f>
        <v>280.695</v>
      </c>
      <c r="J230" s="14" t="n">
        <f aca="false">F230-I230</f>
        <v>654.955</v>
      </c>
    </row>
    <row r="231" customFormat="false" ht="15" hidden="false" customHeight="false" outlineLevel="0" collapsed="false">
      <c r="A231" s="6" t="s">
        <v>132</v>
      </c>
      <c r="B231" s="6" t="s">
        <v>100</v>
      </c>
      <c r="C231" s="6" t="s">
        <v>74</v>
      </c>
      <c r="D231" s="6" t="s">
        <v>124</v>
      </c>
      <c r="E231" s="12" t="n">
        <v>1556502</v>
      </c>
      <c r="F231" s="13" t="n">
        <v>4980.81</v>
      </c>
      <c r="G231" s="5" t="str">
        <f aca="false">INDEX(Merchant_Map!$E$5:$E$24,MATCH(B231,Merchant_Map!$A$5:$A$24,0))</f>
        <v>Partner Delta</v>
      </c>
      <c r="H231" s="11" t="n">
        <f aca="false">INDEX(Merchant_Map!$G$5:$G$24,MATCH(B231,Merchant_Map!$A$5:$A$24,0))</f>
        <v>0.3</v>
      </c>
      <c r="I231" s="14" t="n">
        <f aca="false">F231*H231</f>
        <v>1494.243</v>
      </c>
      <c r="J231" s="14" t="n">
        <f aca="false">F231-I231</f>
        <v>3486.567</v>
      </c>
    </row>
    <row r="232" customFormat="false" ht="15" hidden="false" customHeight="false" outlineLevel="0" collapsed="false">
      <c r="A232" s="6" t="s">
        <v>132</v>
      </c>
      <c r="B232" s="6" t="s">
        <v>100</v>
      </c>
      <c r="C232" s="6" t="s">
        <v>75</v>
      </c>
      <c r="D232" s="6" t="s">
        <v>136</v>
      </c>
      <c r="E232" s="12" t="n">
        <v>0</v>
      </c>
      <c r="F232" s="13" t="n">
        <v>940.6</v>
      </c>
      <c r="G232" s="5" t="str">
        <f aca="false">INDEX(Merchant_Map!$E$5:$E$24,MATCH(B232,Merchant_Map!$A$5:$A$24,0))</f>
        <v>Partner Delta</v>
      </c>
      <c r="H232" s="11" t="n">
        <f aca="false">INDEX(Merchant_Map!$G$5:$G$24,MATCH(B232,Merchant_Map!$A$5:$A$24,0))</f>
        <v>0.3</v>
      </c>
      <c r="I232" s="14" t="n">
        <f aca="false">F232*H232</f>
        <v>282.18</v>
      </c>
      <c r="J232" s="14" t="n">
        <f aca="false">F232-I232</f>
        <v>658.42</v>
      </c>
    </row>
    <row r="233" customFormat="false" ht="15" hidden="false" customHeight="false" outlineLevel="0" collapsed="false">
      <c r="A233" s="6" t="s">
        <v>133</v>
      </c>
      <c r="B233" s="6" t="s">
        <v>100</v>
      </c>
      <c r="C233" s="6" t="s">
        <v>74</v>
      </c>
      <c r="D233" s="6" t="s">
        <v>124</v>
      </c>
      <c r="E233" s="12" t="n">
        <v>1632730</v>
      </c>
      <c r="F233" s="13" t="n">
        <v>5224.74</v>
      </c>
      <c r="G233" s="5" t="str">
        <f aca="false">INDEX(Merchant_Map!$E$5:$E$24,MATCH(B233,Merchant_Map!$A$5:$A$24,0))</f>
        <v>Partner Delta</v>
      </c>
      <c r="H233" s="11" t="n">
        <f aca="false">INDEX(Merchant_Map!$G$5:$G$24,MATCH(B233,Merchant_Map!$A$5:$A$24,0))</f>
        <v>0.3</v>
      </c>
      <c r="I233" s="14" t="n">
        <f aca="false">F233*H233</f>
        <v>1567.422</v>
      </c>
      <c r="J233" s="14" t="n">
        <f aca="false">F233-I233</f>
        <v>3657.318</v>
      </c>
    </row>
    <row r="234" customFormat="false" ht="15" hidden="false" customHeight="false" outlineLevel="0" collapsed="false">
      <c r="A234" s="6" t="s">
        <v>133</v>
      </c>
      <c r="B234" s="6" t="s">
        <v>100</v>
      </c>
      <c r="C234" s="6" t="s">
        <v>75</v>
      </c>
      <c r="D234" s="6" t="s">
        <v>136</v>
      </c>
      <c r="E234" s="12" t="n">
        <v>0</v>
      </c>
      <c r="F234" s="13" t="n">
        <v>985.45</v>
      </c>
      <c r="G234" s="5" t="str">
        <f aca="false">INDEX(Merchant_Map!$E$5:$E$24,MATCH(B234,Merchant_Map!$A$5:$A$24,0))</f>
        <v>Partner Delta</v>
      </c>
      <c r="H234" s="11" t="n">
        <f aca="false">INDEX(Merchant_Map!$G$5:$G$24,MATCH(B234,Merchant_Map!$A$5:$A$24,0))</f>
        <v>0.3</v>
      </c>
      <c r="I234" s="14" t="n">
        <f aca="false">F234*H234</f>
        <v>295.635</v>
      </c>
      <c r="J234" s="14" t="n">
        <f aca="false">F234-I234</f>
        <v>689.815</v>
      </c>
    </row>
    <row r="235" customFormat="false" ht="15" hidden="false" customHeight="false" outlineLevel="0" collapsed="false">
      <c r="A235" s="6" t="s">
        <v>134</v>
      </c>
      <c r="B235" s="6" t="s">
        <v>100</v>
      </c>
      <c r="C235" s="6" t="s">
        <v>74</v>
      </c>
      <c r="D235" s="6" t="s">
        <v>124</v>
      </c>
      <c r="E235" s="12" t="n">
        <v>1486342</v>
      </c>
      <c r="F235" s="13" t="n">
        <v>4756.29</v>
      </c>
      <c r="G235" s="5" t="str">
        <f aca="false">INDEX(Merchant_Map!$E$5:$E$24,MATCH(B235,Merchant_Map!$A$5:$A$24,0))</f>
        <v>Partner Delta</v>
      </c>
      <c r="H235" s="11" t="n">
        <f aca="false">INDEX(Merchant_Map!$G$5:$G$24,MATCH(B235,Merchant_Map!$A$5:$A$24,0))</f>
        <v>0.3</v>
      </c>
      <c r="I235" s="14" t="n">
        <f aca="false">F235*H235</f>
        <v>1426.887</v>
      </c>
      <c r="J235" s="14" t="n">
        <f aca="false">F235-I235</f>
        <v>3329.403</v>
      </c>
    </row>
    <row r="236" customFormat="false" ht="15" hidden="false" customHeight="false" outlineLevel="0" collapsed="false">
      <c r="A236" s="6" t="s">
        <v>134</v>
      </c>
      <c r="B236" s="6" t="s">
        <v>100</v>
      </c>
      <c r="C236" s="6" t="s">
        <v>75</v>
      </c>
      <c r="D236" s="6" t="s">
        <v>136</v>
      </c>
      <c r="E236" s="12" t="n">
        <v>0</v>
      </c>
      <c r="F236" s="13" t="n">
        <v>899.3</v>
      </c>
      <c r="G236" s="5" t="str">
        <f aca="false">INDEX(Merchant_Map!$E$5:$E$24,MATCH(B236,Merchant_Map!$A$5:$A$24,0))</f>
        <v>Partner Delta</v>
      </c>
      <c r="H236" s="11" t="n">
        <f aca="false">INDEX(Merchant_Map!$G$5:$G$24,MATCH(B236,Merchant_Map!$A$5:$A$24,0))</f>
        <v>0.3</v>
      </c>
      <c r="I236" s="14" t="n">
        <f aca="false">F236*H236</f>
        <v>269.79</v>
      </c>
      <c r="J236" s="14" t="n">
        <f aca="false">F236-I236</f>
        <v>629.51</v>
      </c>
    </row>
    <row r="237" customFormat="false" ht="15" hidden="false" customHeight="false" outlineLevel="0" collapsed="false">
      <c r="A237" s="6" t="s">
        <v>135</v>
      </c>
      <c r="B237" s="6" t="s">
        <v>100</v>
      </c>
      <c r="C237" s="6" t="s">
        <v>74</v>
      </c>
      <c r="D237" s="6" t="s">
        <v>124</v>
      </c>
      <c r="E237" s="12" t="n">
        <v>1561867</v>
      </c>
      <c r="F237" s="13" t="n">
        <v>4997.97</v>
      </c>
      <c r="G237" s="5" t="str">
        <f aca="false">INDEX(Merchant_Map!$E$5:$E$24,MATCH(B237,Merchant_Map!$A$5:$A$24,0))</f>
        <v>Partner Delta</v>
      </c>
      <c r="H237" s="11" t="n">
        <f aca="false">INDEX(Merchant_Map!$G$5:$G$24,MATCH(B237,Merchant_Map!$A$5:$A$24,0))</f>
        <v>0.3</v>
      </c>
      <c r="I237" s="14" t="n">
        <f aca="false">F237*H237</f>
        <v>1499.391</v>
      </c>
      <c r="J237" s="14" t="n">
        <f aca="false">F237-I237</f>
        <v>3498.579</v>
      </c>
    </row>
    <row r="238" customFormat="false" ht="15" hidden="false" customHeight="false" outlineLevel="0" collapsed="false">
      <c r="A238" s="6" t="s">
        <v>135</v>
      </c>
      <c r="B238" s="6" t="s">
        <v>100</v>
      </c>
      <c r="C238" s="6" t="s">
        <v>75</v>
      </c>
      <c r="D238" s="6" t="s">
        <v>136</v>
      </c>
      <c r="E238" s="12" t="n">
        <v>0</v>
      </c>
      <c r="F238" s="13" t="n">
        <v>943.75</v>
      </c>
      <c r="G238" s="5" t="str">
        <f aca="false">INDEX(Merchant_Map!$E$5:$E$24,MATCH(B238,Merchant_Map!$A$5:$A$24,0))</f>
        <v>Partner Delta</v>
      </c>
      <c r="H238" s="11" t="n">
        <f aca="false">INDEX(Merchant_Map!$G$5:$G$24,MATCH(B238,Merchant_Map!$A$5:$A$24,0))</f>
        <v>0.3</v>
      </c>
      <c r="I238" s="14" t="n">
        <f aca="false">F238*H238</f>
        <v>283.125</v>
      </c>
      <c r="J238" s="14" t="n">
        <f aca="false">F238-I238</f>
        <v>660.625</v>
      </c>
    </row>
    <row r="239" customFormat="false" ht="15" hidden="false" customHeight="false" outlineLevel="0" collapsed="false">
      <c r="A239" s="6" t="s">
        <v>123</v>
      </c>
      <c r="B239" s="6" t="s">
        <v>102</v>
      </c>
      <c r="C239" s="6" t="s">
        <v>78</v>
      </c>
      <c r="D239" s="6" t="s">
        <v>124</v>
      </c>
      <c r="E239" s="12" t="n">
        <v>189278</v>
      </c>
      <c r="F239" s="13" t="n">
        <v>1041.03</v>
      </c>
      <c r="G239" s="5" t="str">
        <f aca="false">INDEX(Merchant_Map!$E$5:$E$24,MATCH(B239,Merchant_Map!$A$5:$A$24,0))</f>
        <v>Partner Alpha</v>
      </c>
      <c r="H239" s="11" t="n">
        <f aca="false">INDEX(Merchant_Map!$G$5:$G$24,MATCH(B239,Merchant_Map!$A$5:$A$24,0))</f>
        <v>0.4</v>
      </c>
      <c r="I239" s="14" t="n">
        <f aca="false">F239*H239</f>
        <v>416.412</v>
      </c>
      <c r="J239" s="14" t="n">
        <f aca="false">F239-I239</f>
        <v>624.618</v>
      </c>
    </row>
    <row r="240" customFormat="false" ht="15" hidden="false" customHeight="false" outlineLevel="0" collapsed="false">
      <c r="A240" s="6" t="s">
        <v>125</v>
      </c>
      <c r="B240" s="6" t="s">
        <v>102</v>
      </c>
      <c r="C240" s="6" t="s">
        <v>78</v>
      </c>
      <c r="D240" s="6" t="s">
        <v>124</v>
      </c>
      <c r="E240" s="12" t="n">
        <v>203793</v>
      </c>
      <c r="F240" s="13" t="n">
        <v>1120.86</v>
      </c>
      <c r="G240" s="5" t="str">
        <f aca="false">INDEX(Merchant_Map!$E$5:$E$24,MATCH(B240,Merchant_Map!$A$5:$A$24,0))</f>
        <v>Partner Alpha</v>
      </c>
      <c r="H240" s="11" t="n">
        <f aca="false">INDEX(Merchant_Map!$G$5:$G$24,MATCH(B240,Merchant_Map!$A$5:$A$24,0))</f>
        <v>0.4</v>
      </c>
      <c r="I240" s="14" t="n">
        <f aca="false">F240*H240</f>
        <v>448.344</v>
      </c>
      <c r="J240" s="14" t="n">
        <f aca="false">F240-I240</f>
        <v>672.516</v>
      </c>
    </row>
    <row r="241" customFormat="false" ht="15" hidden="false" customHeight="false" outlineLevel="0" collapsed="false">
      <c r="A241" s="6" t="s">
        <v>126</v>
      </c>
      <c r="B241" s="6" t="s">
        <v>102</v>
      </c>
      <c r="C241" s="6" t="s">
        <v>78</v>
      </c>
      <c r="D241" s="6" t="s">
        <v>124</v>
      </c>
      <c r="E241" s="12" t="n">
        <v>191698</v>
      </c>
      <c r="F241" s="13" t="n">
        <v>1054.34</v>
      </c>
      <c r="G241" s="5" t="str">
        <f aca="false">INDEX(Merchant_Map!$E$5:$E$24,MATCH(B241,Merchant_Map!$A$5:$A$24,0))</f>
        <v>Partner Alpha</v>
      </c>
      <c r="H241" s="11" t="n">
        <f aca="false">INDEX(Merchant_Map!$G$5:$G$24,MATCH(B241,Merchant_Map!$A$5:$A$24,0))</f>
        <v>0.4</v>
      </c>
      <c r="I241" s="14" t="n">
        <f aca="false">F241*H241</f>
        <v>421.736</v>
      </c>
      <c r="J241" s="14" t="n">
        <f aca="false">F241-I241</f>
        <v>632.604</v>
      </c>
    </row>
    <row r="242" customFormat="false" ht="15" hidden="false" customHeight="false" outlineLevel="0" collapsed="false">
      <c r="A242" s="6" t="s">
        <v>127</v>
      </c>
      <c r="B242" s="6" t="s">
        <v>102</v>
      </c>
      <c r="C242" s="6" t="s">
        <v>78</v>
      </c>
      <c r="D242" s="6" t="s">
        <v>124</v>
      </c>
      <c r="E242" s="12" t="n">
        <v>192596</v>
      </c>
      <c r="F242" s="13" t="n">
        <v>1059.28</v>
      </c>
      <c r="G242" s="5" t="str">
        <f aca="false">INDEX(Merchant_Map!$E$5:$E$24,MATCH(B242,Merchant_Map!$A$5:$A$24,0))</f>
        <v>Partner Alpha</v>
      </c>
      <c r="H242" s="11" t="n">
        <f aca="false">INDEX(Merchant_Map!$G$5:$G$24,MATCH(B242,Merchant_Map!$A$5:$A$24,0))</f>
        <v>0.4</v>
      </c>
      <c r="I242" s="14" t="n">
        <f aca="false">F242*H242</f>
        <v>423.712</v>
      </c>
      <c r="J242" s="14" t="n">
        <f aca="false">F242-I242</f>
        <v>635.568</v>
      </c>
    </row>
    <row r="243" customFormat="false" ht="15" hidden="false" customHeight="false" outlineLevel="0" collapsed="false">
      <c r="A243" s="6" t="s">
        <v>128</v>
      </c>
      <c r="B243" s="6" t="s">
        <v>102</v>
      </c>
      <c r="C243" s="6" t="s">
        <v>78</v>
      </c>
      <c r="D243" s="6" t="s">
        <v>124</v>
      </c>
      <c r="E243" s="12" t="n">
        <v>201184</v>
      </c>
      <c r="F243" s="13" t="n">
        <v>1106.51</v>
      </c>
      <c r="G243" s="5" t="str">
        <f aca="false">INDEX(Merchant_Map!$E$5:$E$24,MATCH(B243,Merchant_Map!$A$5:$A$24,0))</f>
        <v>Partner Alpha</v>
      </c>
      <c r="H243" s="11" t="n">
        <f aca="false">INDEX(Merchant_Map!$G$5:$G$24,MATCH(B243,Merchant_Map!$A$5:$A$24,0))</f>
        <v>0.4</v>
      </c>
      <c r="I243" s="14" t="n">
        <f aca="false">F243*H243</f>
        <v>442.604</v>
      </c>
      <c r="J243" s="14" t="n">
        <f aca="false">F243-I243</f>
        <v>663.906</v>
      </c>
    </row>
    <row r="244" customFormat="false" ht="15" hidden="false" customHeight="false" outlineLevel="0" collapsed="false">
      <c r="A244" s="6" t="s">
        <v>129</v>
      </c>
      <c r="B244" s="6" t="s">
        <v>102</v>
      </c>
      <c r="C244" s="6" t="s">
        <v>78</v>
      </c>
      <c r="D244" s="6" t="s">
        <v>124</v>
      </c>
      <c r="E244" s="12" t="n">
        <v>202941</v>
      </c>
      <c r="F244" s="13" t="n">
        <v>1116.18</v>
      </c>
      <c r="G244" s="5" t="str">
        <f aca="false">INDEX(Merchant_Map!$E$5:$E$24,MATCH(B244,Merchant_Map!$A$5:$A$24,0))</f>
        <v>Partner Alpha</v>
      </c>
      <c r="H244" s="11" t="n">
        <f aca="false">INDEX(Merchant_Map!$G$5:$G$24,MATCH(B244,Merchant_Map!$A$5:$A$24,0))</f>
        <v>0.4</v>
      </c>
      <c r="I244" s="14" t="n">
        <f aca="false">F244*H244</f>
        <v>446.472</v>
      </c>
      <c r="J244" s="14" t="n">
        <f aca="false">F244-I244</f>
        <v>669.708</v>
      </c>
    </row>
    <row r="245" customFormat="false" ht="15" hidden="false" customHeight="false" outlineLevel="0" collapsed="false">
      <c r="A245" s="6" t="s">
        <v>130</v>
      </c>
      <c r="B245" s="6" t="s">
        <v>102</v>
      </c>
      <c r="C245" s="6" t="s">
        <v>78</v>
      </c>
      <c r="D245" s="6" t="s">
        <v>124</v>
      </c>
      <c r="E245" s="12" t="n">
        <v>201810</v>
      </c>
      <c r="F245" s="13" t="n">
        <v>1109.95</v>
      </c>
      <c r="G245" s="5" t="str">
        <f aca="false">INDEX(Merchant_Map!$E$5:$E$24,MATCH(B245,Merchant_Map!$A$5:$A$24,0))</f>
        <v>Partner Alpha</v>
      </c>
      <c r="H245" s="11" t="n">
        <f aca="false">INDEX(Merchant_Map!$G$5:$G$24,MATCH(B245,Merchant_Map!$A$5:$A$24,0))</f>
        <v>0.4</v>
      </c>
      <c r="I245" s="14" t="n">
        <f aca="false">F245*H245</f>
        <v>443.98</v>
      </c>
      <c r="J245" s="14" t="n">
        <f aca="false">F245-I245</f>
        <v>665.97</v>
      </c>
    </row>
    <row r="246" customFormat="false" ht="15" hidden="false" customHeight="false" outlineLevel="0" collapsed="false">
      <c r="A246" s="6" t="s">
        <v>131</v>
      </c>
      <c r="B246" s="6" t="s">
        <v>102</v>
      </c>
      <c r="C246" s="6" t="s">
        <v>78</v>
      </c>
      <c r="D246" s="6" t="s">
        <v>124</v>
      </c>
      <c r="E246" s="12" t="n">
        <v>203508</v>
      </c>
      <c r="F246" s="13" t="n">
        <v>1119.29</v>
      </c>
      <c r="G246" s="5" t="str">
        <f aca="false">INDEX(Merchant_Map!$E$5:$E$24,MATCH(B246,Merchant_Map!$A$5:$A$24,0))</f>
        <v>Partner Alpha</v>
      </c>
      <c r="H246" s="11" t="n">
        <f aca="false">INDEX(Merchant_Map!$G$5:$G$24,MATCH(B246,Merchant_Map!$A$5:$A$24,0))</f>
        <v>0.4</v>
      </c>
      <c r="I246" s="14" t="n">
        <f aca="false">F246*H246</f>
        <v>447.716</v>
      </c>
      <c r="J246" s="14" t="n">
        <f aca="false">F246-I246</f>
        <v>671.574</v>
      </c>
    </row>
    <row r="247" customFormat="false" ht="15" hidden="false" customHeight="false" outlineLevel="0" collapsed="false">
      <c r="A247" s="6" t="s">
        <v>132</v>
      </c>
      <c r="B247" s="6" t="s">
        <v>102</v>
      </c>
      <c r="C247" s="6" t="s">
        <v>78</v>
      </c>
      <c r="D247" s="6" t="s">
        <v>124</v>
      </c>
      <c r="E247" s="12" t="n">
        <v>223110</v>
      </c>
      <c r="F247" s="13" t="n">
        <v>1227.11</v>
      </c>
      <c r="G247" s="5" t="str">
        <f aca="false">INDEX(Merchant_Map!$E$5:$E$24,MATCH(B247,Merchant_Map!$A$5:$A$24,0))</f>
        <v>Partner Alpha</v>
      </c>
      <c r="H247" s="11" t="n">
        <f aca="false">INDEX(Merchant_Map!$G$5:$G$24,MATCH(B247,Merchant_Map!$A$5:$A$24,0))</f>
        <v>0.4</v>
      </c>
      <c r="I247" s="14" t="n">
        <f aca="false">F247*H247</f>
        <v>490.844</v>
      </c>
      <c r="J247" s="14" t="n">
        <f aca="false">F247-I247</f>
        <v>736.266</v>
      </c>
    </row>
    <row r="248" customFormat="false" ht="15" hidden="false" customHeight="false" outlineLevel="0" collapsed="false">
      <c r="A248" s="6" t="s">
        <v>133</v>
      </c>
      <c r="B248" s="6" t="s">
        <v>102</v>
      </c>
      <c r="C248" s="6" t="s">
        <v>78</v>
      </c>
      <c r="D248" s="6" t="s">
        <v>124</v>
      </c>
      <c r="E248" s="12" t="n">
        <v>213407</v>
      </c>
      <c r="F248" s="13" t="n">
        <v>1173.74</v>
      </c>
      <c r="G248" s="5" t="str">
        <f aca="false">INDEX(Merchant_Map!$E$5:$E$24,MATCH(B248,Merchant_Map!$A$5:$A$24,0))</f>
        <v>Partner Alpha</v>
      </c>
      <c r="H248" s="11" t="n">
        <f aca="false">INDEX(Merchant_Map!$G$5:$G$24,MATCH(B248,Merchant_Map!$A$5:$A$24,0))</f>
        <v>0.4</v>
      </c>
      <c r="I248" s="14" t="n">
        <f aca="false">F248*H248</f>
        <v>469.496</v>
      </c>
      <c r="J248" s="14" t="n">
        <f aca="false">F248-I248</f>
        <v>704.244</v>
      </c>
    </row>
    <row r="249" customFormat="false" ht="15" hidden="false" customHeight="false" outlineLevel="0" collapsed="false">
      <c r="A249" s="6" t="s">
        <v>134</v>
      </c>
      <c r="B249" s="6" t="s">
        <v>102</v>
      </c>
      <c r="C249" s="6" t="s">
        <v>78</v>
      </c>
      <c r="D249" s="6" t="s">
        <v>124</v>
      </c>
      <c r="E249" s="12" t="n">
        <v>226881</v>
      </c>
      <c r="F249" s="13" t="n">
        <v>1247.85</v>
      </c>
      <c r="G249" s="5" t="str">
        <f aca="false">INDEX(Merchant_Map!$E$5:$E$24,MATCH(B249,Merchant_Map!$A$5:$A$24,0))</f>
        <v>Partner Alpha</v>
      </c>
      <c r="H249" s="11" t="n">
        <f aca="false">INDEX(Merchant_Map!$G$5:$G$24,MATCH(B249,Merchant_Map!$A$5:$A$24,0))</f>
        <v>0.4</v>
      </c>
      <c r="I249" s="14" t="n">
        <f aca="false">F249*H249</f>
        <v>499.14</v>
      </c>
      <c r="J249" s="14" t="n">
        <f aca="false">F249-I249</f>
        <v>748.71</v>
      </c>
    </row>
    <row r="250" customFormat="false" ht="15" hidden="false" customHeight="false" outlineLevel="0" collapsed="false">
      <c r="A250" s="6" t="s">
        <v>135</v>
      </c>
      <c r="B250" s="6" t="s">
        <v>102</v>
      </c>
      <c r="C250" s="6" t="s">
        <v>78</v>
      </c>
      <c r="D250" s="6" t="s">
        <v>124</v>
      </c>
      <c r="E250" s="12" t="n">
        <v>221390</v>
      </c>
      <c r="F250" s="13" t="n">
        <v>1217.64</v>
      </c>
      <c r="G250" s="5" t="str">
        <f aca="false">INDEX(Merchant_Map!$E$5:$E$24,MATCH(B250,Merchant_Map!$A$5:$A$24,0))</f>
        <v>Partner Alpha</v>
      </c>
      <c r="H250" s="11" t="n">
        <f aca="false">INDEX(Merchant_Map!$G$5:$G$24,MATCH(B250,Merchant_Map!$A$5:$A$24,0))</f>
        <v>0.4</v>
      </c>
      <c r="I250" s="14" t="n">
        <f aca="false">F250*H250</f>
        <v>487.056</v>
      </c>
      <c r="J250" s="14" t="n">
        <f aca="false">F250-I250</f>
        <v>730.584</v>
      </c>
    </row>
    <row r="251" customFormat="false" ht="15" hidden="false" customHeight="false" outlineLevel="0" collapsed="false">
      <c r="A251" s="6" t="s">
        <v>123</v>
      </c>
      <c r="B251" s="6" t="s">
        <v>104</v>
      </c>
      <c r="C251" s="6" t="s">
        <v>81</v>
      </c>
      <c r="D251" s="6" t="s">
        <v>124</v>
      </c>
      <c r="E251" s="12" t="n">
        <v>478712</v>
      </c>
      <c r="F251" s="13" t="n">
        <v>2297.82</v>
      </c>
      <c r="G251" s="5" t="str">
        <f aca="false">INDEX(Merchant_Map!$E$5:$E$24,MATCH(B251,Merchant_Map!$A$5:$A$24,0))</f>
        <v>Partner Alpha</v>
      </c>
      <c r="H251" s="11" t="n">
        <f aca="false">INDEX(Merchant_Map!$G$5:$G$24,MATCH(B251,Merchant_Map!$A$5:$A$24,0))</f>
        <v>0.4</v>
      </c>
      <c r="I251" s="14" t="n">
        <f aca="false">F251*H251</f>
        <v>919.128</v>
      </c>
      <c r="J251" s="14" t="n">
        <f aca="false">F251-I251</f>
        <v>1378.692</v>
      </c>
    </row>
    <row r="252" customFormat="false" ht="15" hidden="false" customHeight="false" outlineLevel="0" collapsed="false">
      <c r="A252" s="6" t="s">
        <v>123</v>
      </c>
      <c r="B252" s="6" t="s">
        <v>104</v>
      </c>
      <c r="C252" s="6" t="s">
        <v>75</v>
      </c>
      <c r="D252" s="6" t="s">
        <v>136</v>
      </c>
      <c r="E252" s="12" t="n">
        <v>0</v>
      </c>
      <c r="F252" s="13" t="n">
        <v>306.6</v>
      </c>
      <c r="G252" s="5" t="str">
        <f aca="false">INDEX(Merchant_Map!$E$5:$E$24,MATCH(B252,Merchant_Map!$A$5:$A$24,0))</f>
        <v>Partner Alpha</v>
      </c>
      <c r="H252" s="11" t="n">
        <f aca="false">INDEX(Merchant_Map!$G$5:$G$24,MATCH(B252,Merchant_Map!$A$5:$A$24,0))</f>
        <v>0.4</v>
      </c>
      <c r="I252" s="14" t="n">
        <f aca="false">F252*H252</f>
        <v>122.64</v>
      </c>
      <c r="J252" s="14" t="n">
        <f aca="false">F252-I252</f>
        <v>183.96</v>
      </c>
    </row>
    <row r="253" customFormat="false" ht="15" hidden="false" customHeight="false" outlineLevel="0" collapsed="false">
      <c r="A253" s="6" t="s">
        <v>125</v>
      </c>
      <c r="B253" s="6" t="s">
        <v>104</v>
      </c>
      <c r="C253" s="6" t="s">
        <v>81</v>
      </c>
      <c r="D253" s="6" t="s">
        <v>124</v>
      </c>
      <c r="E253" s="12" t="n">
        <v>542752</v>
      </c>
      <c r="F253" s="13" t="n">
        <v>2605.21</v>
      </c>
      <c r="G253" s="5" t="str">
        <f aca="false">INDEX(Merchant_Map!$E$5:$E$24,MATCH(B253,Merchant_Map!$A$5:$A$24,0))</f>
        <v>Partner Alpha</v>
      </c>
      <c r="H253" s="11" t="n">
        <f aca="false">INDEX(Merchant_Map!$G$5:$G$24,MATCH(B253,Merchant_Map!$A$5:$A$24,0))</f>
        <v>0.4</v>
      </c>
      <c r="I253" s="14" t="n">
        <f aca="false">F253*H253</f>
        <v>1042.084</v>
      </c>
      <c r="J253" s="14" t="n">
        <f aca="false">F253-I253</f>
        <v>1563.126</v>
      </c>
    </row>
    <row r="254" customFormat="false" ht="15" hidden="false" customHeight="false" outlineLevel="0" collapsed="false">
      <c r="A254" s="6" t="s">
        <v>125</v>
      </c>
      <c r="B254" s="6" t="s">
        <v>104</v>
      </c>
      <c r="C254" s="6" t="s">
        <v>75</v>
      </c>
      <c r="D254" s="6" t="s">
        <v>136</v>
      </c>
      <c r="E254" s="12" t="n">
        <v>0</v>
      </c>
      <c r="F254" s="13" t="n">
        <v>344.25</v>
      </c>
      <c r="G254" s="5" t="str">
        <f aca="false">INDEX(Merchant_Map!$E$5:$E$24,MATCH(B254,Merchant_Map!$A$5:$A$24,0))</f>
        <v>Partner Alpha</v>
      </c>
      <c r="H254" s="11" t="n">
        <f aca="false">INDEX(Merchant_Map!$G$5:$G$24,MATCH(B254,Merchant_Map!$A$5:$A$24,0))</f>
        <v>0.4</v>
      </c>
      <c r="I254" s="14" t="n">
        <f aca="false">F254*H254</f>
        <v>137.7</v>
      </c>
      <c r="J254" s="14" t="n">
        <f aca="false">F254-I254</f>
        <v>206.55</v>
      </c>
    </row>
    <row r="255" customFormat="false" ht="15" hidden="false" customHeight="false" outlineLevel="0" collapsed="false">
      <c r="A255" s="6" t="s">
        <v>126</v>
      </c>
      <c r="B255" s="6" t="s">
        <v>104</v>
      </c>
      <c r="C255" s="6" t="s">
        <v>81</v>
      </c>
      <c r="D255" s="6" t="s">
        <v>124</v>
      </c>
      <c r="E255" s="12" t="n">
        <v>539113</v>
      </c>
      <c r="F255" s="13" t="n">
        <v>2587.74</v>
      </c>
      <c r="G255" s="5" t="str">
        <f aca="false">INDEX(Merchant_Map!$E$5:$E$24,MATCH(B255,Merchant_Map!$A$5:$A$24,0))</f>
        <v>Partner Alpha</v>
      </c>
      <c r="H255" s="11" t="n">
        <f aca="false">INDEX(Merchant_Map!$G$5:$G$24,MATCH(B255,Merchant_Map!$A$5:$A$24,0))</f>
        <v>0.4</v>
      </c>
      <c r="I255" s="14" t="n">
        <f aca="false">F255*H255</f>
        <v>1035.096</v>
      </c>
      <c r="J255" s="14" t="n">
        <f aca="false">F255-I255</f>
        <v>1552.644</v>
      </c>
    </row>
    <row r="256" customFormat="false" ht="15" hidden="false" customHeight="false" outlineLevel="0" collapsed="false">
      <c r="A256" s="6" t="s">
        <v>126</v>
      </c>
      <c r="B256" s="6" t="s">
        <v>104</v>
      </c>
      <c r="C256" s="6" t="s">
        <v>75</v>
      </c>
      <c r="D256" s="6" t="s">
        <v>136</v>
      </c>
      <c r="E256" s="12" t="n">
        <v>0</v>
      </c>
      <c r="F256" s="13" t="n">
        <v>342.15</v>
      </c>
      <c r="G256" s="5" t="str">
        <f aca="false">INDEX(Merchant_Map!$E$5:$E$24,MATCH(B256,Merchant_Map!$A$5:$A$24,0))</f>
        <v>Partner Alpha</v>
      </c>
      <c r="H256" s="11" t="n">
        <f aca="false">INDEX(Merchant_Map!$G$5:$G$24,MATCH(B256,Merchant_Map!$A$5:$A$24,0))</f>
        <v>0.4</v>
      </c>
      <c r="I256" s="14" t="n">
        <f aca="false">F256*H256</f>
        <v>136.86</v>
      </c>
      <c r="J256" s="14" t="n">
        <f aca="false">F256-I256</f>
        <v>205.29</v>
      </c>
    </row>
    <row r="257" customFormat="false" ht="15" hidden="false" customHeight="false" outlineLevel="0" collapsed="false">
      <c r="A257" s="6" t="s">
        <v>127</v>
      </c>
      <c r="B257" s="6" t="s">
        <v>104</v>
      </c>
      <c r="C257" s="6" t="s">
        <v>81</v>
      </c>
      <c r="D257" s="6" t="s">
        <v>124</v>
      </c>
      <c r="E257" s="12" t="n">
        <v>553950</v>
      </c>
      <c r="F257" s="13" t="n">
        <v>2658.96</v>
      </c>
      <c r="G257" s="5" t="str">
        <f aca="false">INDEX(Merchant_Map!$E$5:$E$24,MATCH(B257,Merchant_Map!$A$5:$A$24,0))</f>
        <v>Partner Alpha</v>
      </c>
      <c r="H257" s="11" t="n">
        <f aca="false">INDEX(Merchant_Map!$G$5:$G$24,MATCH(B257,Merchant_Map!$A$5:$A$24,0))</f>
        <v>0.4</v>
      </c>
      <c r="I257" s="14" t="n">
        <f aca="false">F257*H257</f>
        <v>1063.584</v>
      </c>
      <c r="J257" s="14" t="n">
        <f aca="false">F257-I257</f>
        <v>1595.376</v>
      </c>
    </row>
    <row r="258" customFormat="false" ht="15" hidden="false" customHeight="false" outlineLevel="0" collapsed="false">
      <c r="A258" s="6" t="s">
        <v>127</v>
      </c>
      <c r="B258" s="6" t="s">
        <v>104</v>
      </c>
      <c r="C258" s="6" t="s">
        <v>75</v>
      </c>
      <c r="D258" s="6" t="s">
        <v>136</v>
      </c>
      <c r="E258" s="12" t="n">
        <v>0</v>
      </c>
      <c r="F258" s="13" t="n">
        <v>350.85</v>
      </c>
      <c r="G258" s="5" t="str">
        <f aca="false">INDEX(Merchant_Map!$E$5:$E$24,MATCH(B258,Merchant_Map!$A$5:$A$24,0))</f>
        <v>Partner Alpha</v>
      </c>
      <c r="H258" s="11" t="n">
        <f aca="false">INDEX(Merchant_Map!$G$5:$G$24,MATCH(B258,Merchant_Map!$A$5:$A$24,0))</f>
        <v>0.4</v>
      </c>
      <c r="I258" s="14" t="n">
        <f aca="false">F258*H258</f>
        <v>140.34</v>
      </c>
      <c r="J258" s="14" t="n">
        <f aca="false">F258-I258</f>
        <v>210.51</v>
      </c>
    </row>
    <row r="259" customFormat="false" ht="15" hidden="false" customHeight="false" outlineLevel="0" collapsed="false">
      <c r="A259" s="6" t="s">
        <v>128</v>
      </c>
      <c r="B259" s="6" t="s">
        <v>104</v>
      </c>
      <c r="C259" s="6" t="s">
        <v>81</v>
      </c>
      <c r="D259" s="6" t="s">
        <v>124</v>
      </c>
      <c r="E259" s="12" t="n">
        <v>557883</v>
      </c>
      <c r="F259" s="13" t="n">
        <v>2677.84</v>
      </c>
      <c r="G259" s="5" t="str">
        <f aca="false">INDEX(Merchant_Map!$E$5:$E$24,MATCH(B259,Merchant_Map!$A$5:$A$24,0))</f>
        <v>Partner Alpha</v>
      </c>
      <c r="H259" s="11" t="n">
        <f aca="false">INDEX(Merchant_Map!$G$5:$G$24,MATCH(B259,Merchant_Map!$A$5:$A$24,0))</f>
        <v>0.4</v>
      </c>
      <c r="I259" s="14" t="n">
        <f aca="false">F259*H259</f>
        <v>1071.136</v>
      </c>
      <c r="J259" s="14" t="n">
        <f aca="false">F259-I259</f>
        <v>1606.704</v>
      </c>
    </row>
    <row r="260" customFormat="false" ht="15" hidden="false" customHeight="false" outlineLevel="0" collapsed="false">
      <c r="A260" s="6" t="s">
        <v>128</v>
      </c>
      <c r="B260" s="6" t="s">
        <v>104</v>
      </c>
      <c r="C260" s="6" t="s">
        <v>75</v>
      </c>
      <c r="D260" s="6" t="s">
        <v>136</v>
      </c>
      <c r="E260" s="12" t="n">
        <v>0</v>
      </c>
      <c r="F260" s="13" t="n">
        <v>353.15</v>
      </c>
      <c r="G260" s="5" t="str">
        <f aca="false">INDEX(Merchant_Map!$E$5:$E$24,MATCH(B260,Merchant_Map!$A$5:$A$24,0))</f>
        <v>Partner Alpha</v>
      </c>
      <c r="H260" s="11" t="n">
        <f aca="false">INDEX(Merchant_Map!$G$5:$G$24,MATCH(B260,Merchant_Map!$A$5:$A$24,0))</f>
        <v>0.4</v>
      </c>
      <c r="I260" s="14" t="n">
        <f aca="false">F260*H260</f>
        <v>141.26</v>
      </c>
      <c r="J260" s="14" t="n">
        <f aca="false">F260-I260</f>
        <v>211.89</v>
      </c>
    </row>
    <row r="261" customFormat="false" ht="15" hidden="false" customHeight="false" outlineLevel="0" collapsed="false">
      <c r="A261" s="6" t="s">
        <v>129</v>
      </c>
      <c r="B261" s="6" t="s">
        <v>104</v>
      </c>
      <c r="C261" s="6" t="s">
        <v>81</v>
      </c>
      <c r="D261" s="6" t="s">
        <v>124</v>
      </c>
      <c r="E261" s="12" t="n">
        <v>559571</v>
      </c>
      <c r="F261" s="13" t="n">
        <v>2685.94</v>
      </c>
      <c r="G261" s="5" t="str">
        <f aca="false">INDEX(Merchant_Map!$E$5:$E$24,MATCH(B261,Merchant_Map!$A$5:$A$24,0))</f>
        <v>Partner Alpha</v>
      </c>
      <c r="H261" s="11" t="n">
        <f aca="false">INDEX(Merchant_Map!$G$5:$G$24,MATCH(B261,Merchant_Map!$A$5:$A$24,0))</f>
        <v>0.4</v>
      </c>
      <c r="I261" s="14" t="n">
        <f aca="false">F261*H261</f>
        <v>1074.376</v>
      </c>
      <c r="J261" s="14" t="n">
        <f aca="false">F261-I261</f>
        <v>1611.564</v>
      </c>
    </row>
    <row r="262" customFormat="false" ht="15" hidden="false" customHeight="false" outlineLevel="0" collapsed="false">
      <c r="A262" s="6" t="s">
        <v>129</v>
      </c>
      <c r="B262" s="6" t="s">
        <v>104</v>
      </c>
      <c r="C262" s="6" t="s">
        <v>75</v>
      </c>
      <c r="D262" s="6" t="s">
        <v>136</v>
      </c>
      <c r="E262" s="12" t="n">
        <v>0</v>
      </c>
      <c r="F262" s="13" t="n">
        <v>354.15</v>
      </c>
      <c r="G262" s="5" t="str">
        <f aca="false">INDEX(Merchant_Map!$E$5:$E$24,MATCH(B262,Merchant_Map!$A$5:$A$24,0))</f>
        <v>Partner Alpha</v>
      </c>
      <c r="H262" s="11" t="n">
        <f aca="false">INDEX(Merchant_Map!$G$5:$G$24,MATCH(B262,Merchant_Map!$A$5:$A$24,0))</f>
        <v>0.4</v>
      </c>
      <c r="I262" s="14" t="n">
        <f aca="false">F262*H262</f>
        <v>141.66</v>
      </c>
      <c r="J262" s="14" t="n">
        <f aca="false">F262-I262</f>
        <v>212.49</v>
      </c>
    </row>
    <row r="263" customFormat="false" ht="15" hidden="false" customHeight="false" outlineLevel="0" collapsed="false">
      <c r="A263" s="6" t="s">
        <v>130</v>
      </c>
      <c r="B263" s="6" t="s">
        <v>104</v>
      </c>
      <c r="C263" s="6" t="s">
        <v>81</v>
      </c>
      <c r="D263" s="6" t="s">
        <v>124</v>
      </c>
      <c r="E263" s="12" t="n">
        <v>521778</v>
      </c>
      <c r="F263" s="13" t="n">
        <v>2504.53</v>
      </c>
      <c r="G263" s="5" t="str">
        <f aca="false">INDEX(Merchant_Map!$E$5:$E$24,MATCH(B263,Merchant_Map!$A$5:$A$24,0))</f>
        <v>Partner Alpha</v>
      </c>
      <c r="H263" s="11" t="n">
        <f aca="false">INDEX(Merchant_Map!$G$5:$G$24,MATCH(B263,Merchant_Map!$A$5:$A$24,0))</f>
        <v>0.4</v>
      </c>
      <c r="I263" s="14" t="n">
        <f aca="false">F263*H263</f>
        <v>1001.812</v>
      </c>
      <c r="J263" s="14" t="n">
        <f aca="false">F263-I263</f>
        <v>1502.718</v>
      </c>
    </row>
    <row r="264" customFormat="false" ht="15" hidden="false" customHeight="false" outlineLevel="0" collapsed="false">
      <c r="A264" s="6" t="s">
        <v>130</v>
      </c>
      <c r="B264" s="6" t="s">
        <v>104</v>
      </c>
      <c r="C264" s="6" t="s">
        <v>75</v>
      </c>
      <c r="D264" s="6" t="s">
        <v>136</v>
      </c>
      <c r="E264" s="12" t="n">
        <v>0</v>
      </c>
      <c r="F264" s="13" t="n">
        <v>331.95</v>
      </c>
      <c r="G264" s="5" t="str">
        <f aca="false">INDEX(Merchant_Map!$E$5:$E$24,MATCH(B264,Merchant_Map!$A$5:$A$24,0))</f>
        <v>Partner Alpha</v>
      </c>
      <c r="H264" s="11" t="n">
        <f aca="false">INDEX(Merchant_Map!$G$5:$G$24,MATCH(B264,Merchant_Map!$A$5:$A$24,0))</f>
        <v>0.4</v>
      </c>
      <c r="I264" s="14" t="n">
        <f aca="false">F264*H264</f>
        <v>132.78</v>
      </c>
      <c r="J264" s="14" t="n">
        <f aca="false">F264-I264</f>
        <v>199.17</v>
      </c>
    </row>
    <row r="265" customFormat="false" ht="15" hidden="false" customHeight="false" outlineLevel="0" collapsed="false">
      <c r="A265" s="6" t="s">
        <v>131</v>
      </c>
      <c r="B265" s="6" t="s">
        <v>104</v>
      </c>
      <c r="C265" s="6" t="s">
        <v>81</v>
      </c>
      <c r="D265" s="6" t="s">
        <v>124</v>
      </c>
      <c r="E265" s="12" t="n">
        <v>549117</v>
      </c>
      <c r="F265" s="13" t="n">
        <v>2635.76</v>
      </c>
      <c r="G265" s="5" t="str">
        <f aca="false">INDEX(Merchant_Map!$E$5:$E$24,MATCH(B265,Merchant_Map!$A$5:$A$24,0))</f>
        <v>Partner Alpha</v>
      </c>
      <c r="H265" s="11" t="n">
        <f aca="false">INDEX(Merchant_Map!$G$5:$G$24,MATCH(B265,Merchant_Map!$A$5:$A$24,0))</f>
        <v>0.4</v>
      </c>
      <c r="I265" s="14" t="n">
        <f aca="false">F265*H265</f>
        <v>1054.304</v>
      </c>
      <c r="J265" s="14" t="n">
        <f aca="false">F265-I265</f>
        <v>1581.456</v>
      </c>
    </row>
    <row r="266" customFormat="false" ht="15" hidden="false" customHeight="false" outlineLevel="0" collapsed="false">
      <c r="A266" s="6" t="s">
        <v>131</v>
      </c>
      <c r="B266" s="6" t="s">
        <v>104</v>
      </c>
      <c r="C266" s="6" t="s">
        <v>75</v>
      </c>
      <c r="D266" s="6" t="s">
        <v>136</v>
      </c>
      <c r="E266" s="12" t="n">
        <v>0</v>
      </c>
      <c r="F266" s="13" t="n">
        <v>348</v>
      </c>
      <c r="G266" s="5" t="str">
        <f aca="false">INDEX(Merchant_Map!$E$5:$E$24,MATCH(B266,Merchant_Map!$A$5:$A$24,0))</f>
        <v>Partner Alpha</v>
      </c>
      <c r="H266" s="11" t="n">
        <f aca="false">INDEX(Merchant_Map!$G$5:$G$24,MATCH(B266,Merchant_Map!$A$5:$A$24,0))</f>
        <v>0.4</v>
      </c>
      <c r="I266" s="14" t="n">
        <f aca="false">F266*H266</f>
        <v>139.2</v>
      </c>
      <c r="J266" s="14" t="n">
        <f aca="false">F266-I266</f>
        <v>208.8</v>
      </c>
    </row>
    <row r="267" customFormat="false" ht="15" hidden="false" customHeight="false" outlineLevel="0" collapsed="false">
      <c r="A267" s="6" t="s">
        <v>132</v>
      </c>
      <c r="B267" s="6" t="s">
        <v>104</v>
      </c>
      <c r="C267" s="6" t="s">
        <v>81</v>
      </c>
      <c r="D267" s="6" t="s">
        <v>124</v>
      </c>
      <c r="E267" s="12" t="n">
        <v>537544</v>
      </c>
      <c r="F267" s="13" t="n">
        <v>2580.21</v>
      </c>
      <c r="G267" s="5" t="str">
        <f aca="false">INDEX(Merchant_Map!$E$5:$E$24,MATCH(B267,Merchant_Map!$A$5:$A$24,0))</f>
        <v>Partner Alpha</v>
      </c>
      <c r="H267" s="11" t="n">
        <f aca="false">INDEX(Merchant_Map!$G$5:$G$24,MATCH(B267,Merchant_Map!$A$5:$A$24,0))</f>
        <v>0.4</v>
      </c>
      <c r="I267" s="14" t="n">
        <f aca="false">F267*H267</f>
        <v>1032.084</v>
      </c>
      <c r="J267" s="14" t="n">
        <f aca="false">F267-I267</f>
        <v>1548.126</v>
      </c>
    </row>
    <row r="268" customFormat="false" ht="15" hidden="false" customHeight="false" outlineLevel="0" collapsed="false">
      <c r="A268" s="6" t="s">
        <v>132</v>
      </c>
      <c r="B268" s="6" t="s">
        <v>104</v>
      </c>
      <c r="C268" s="6" t="s">
        <v>75</v>
      </c>
      <c r="D268" s="6" t="s">
        <v>136</v>
      </c>
      <c r="E268" s="12" t="n">
        <v>0</v>
      </c>
      <c r="F268" s="13" t="n">
        <v>341.2</v>
      </c>
      <c r="G268" s="5" t="str">
        <f aca="false">INDEX(Merchant_Map!$E$5:$E$24,MATCH(B268,Merchant_Map!$A$5:$A$24,0))</f>
        <v>Partner Alpha</v>
      </c>
      <c r="H268" s="11" t="n">
        <f aca="false">INDEX(Merchant_Map!$G$5:$G$24,MATCH(B268,Merchant_Map!$A$5:$A$24,0))</f>
        <v>0.4</v>
      </c>
      <c r="I268" s="14" t="n">
        <f aca="false">F268*H268</f>
        <v>136.48</v>
      </c>
      <c r="J268" s="14" t="n">
        <f aca="false">F268-I268</f>
        <v>204.72</v>
      </c>
    </row>
    <row r="269" customFormat="false" ht="15" hidden="false" customHeight="false" outlineLevel="0" collapsed="false">
      <c r="A269" s="6" t="s">
        <v>133</v>
      </c>
      <c r="B269" s="6" t="s">
        <v>104</v>
      </c>
      <c r="C269" s="6" t="s">
        <v>81</v>
      </c>
      <c r="D269" s="6" t="s">
        <v>124</v>
      </c>
      <c r="E269" s="12" t="n">
        <v>556656</v>
      </c>
      <c r="F269" s="13" t="n">
        <v>2671.95</v>
      </c>
      <c r="G269" s="5" t="str">
        <f aca="false">INDEX(Merchant_Map!$E$5:$E$24,MATCH(B269,Merchant_Map!$A$5:$A$24,0))</f>
        <v>Partner Alpha</v>
      </c>
      <c r="H269" s="11" t="n">
        <f aca="false">INDEX(Merchant_Map!$G$5:$G$24,MATCH(B269,Merchant_Map!$A$5:$A$24,0))</f>
        <v>0.4</v>
      </c>
      <c r="I269" s="14" t="n">
        <f aca="false">F269*H269</f>
        <v>1068.78</v>
      </c>
      <c r="J269" s="14" t="n">
        <f aca="false">F269-I269</f>
        <v>1603.17</v>
      </c>
    </row>
    <row r="270" customFormat="false" ht="15" hidden="false" customHeight="false" outlineLevel="0" collapsed="false">
      <c r="A270" s="6" t="s">
        <v>133</v>
      </c>
      <c r="B270" s="6" t="s">
        <v>104</v>
      </c>
      <c r="C270" s="6" t="s">
        <v>75</v>
      </c>
      <c r="D270" s="6" t="s">
        <v>136</v>
      </c>
      <c r="E270" s="12" t="n">
        <v>0</v>
      </c>
      <c r="F270" s="13" t="n">
        <v>352.45</v>
      </c>
      <c r="G270" s="5" t="str">
        <f aca="false">INDEX(Merchant_Map!$E$5:$E$24,MATCH(B270,Merchant_Map!$A$5:$A$24,0))</f>
        <v>Partner Alpha</v>
      </c>
      <c r="H270" s="11" t="n">
        <f aca="false">INDEX(Merchant_Map!$G$5:$G$24,MATCH(B270,Merchant_Map!$A$5:$A$24,0))</f>
        <v>0.4</v>
      </c>
      <c r="I270" s="14" t="n">
        <f aca="false">F270*H270</f>
        <v>140.98</v>
      </c>
      <c r="J270" s="14" t="n">
        <f aca="false">F270-I270</f>
        <v>211.47</v>
      </c>
    </row>
    <row r="271" customFormat="false" ht="15" hidden="false" customHeight="false" outlineLevel="0" collapsed="false">
      <c r="A271" s="6" t="s">
        <v>134</v>
      </c>
      <c r="B271" s="6" t="s">
        <v>104</v>
      </c>
      <c r="C271" s="6" t="s">
        <v>81</v>
      </c>
      <c r="D271" s="6" t="s">
        <v>124</v>
      </c>
      <c r="E271" s="12" t="n">
        <v>539911</v>
      </c>
      <c r="F271" s="13" t="n">
        <v>2591.57</v>
      </c>
      <c r="G271" s="5" t="str">
        <f aca="false">INDEX(Merchant_Map!$E$5:$E$24,MATCH(B271,Merchant_Map!$A$5:$A$24,0))</f>
        <v>Partner Alpha</v>
      </c>
      <c r="H271" s="11" t="n">
        <f aca="false">INDEX(Merchant_Map!$G$5:$G$24,MATCH(B271,Merchant_Map!$A$5:$A$24,0))</f>
        <v>0.4</v>
      </c>
      <c r="I271" s="14" t="n">
        <f aca="false">F271*H271</f>
        <v>1036.628</v>
      </c>
      <c r="J271" s="14" t="n">
        <f aca="false">F271-I271</f>
        <v>1554.942</v>
      </c>
    </row>
    <row r="272" customFormat="false" ht="15" hidden="false" customHeight="false" outlineLevel="0" collapsed="false">
      <c r="A272" s="6" t="s">
        <v>134</v>
      </c>
      <c r="B272" s="6" t="s">
        <v>104</v>
      </c>
      <c r="C272" s="6" t="s">
        <v>75</v>
      </c>
      <c r="D272" s="6" t="s">
        <v>136</v>
      </c>
      <c r="E272" s="12" t="n">
        <v>0</v>
      </c>
      <c r="F272" s="13" t="n">
        <v>342.6</v>
      </c>
      <c r="G272" s="5" t="str">
        <f aca="false">INDEX(Merchant_Map!$E$5:$E$24,MATCH(B272,Merchant_Map!$A$5:$A$24,0))</f>
        <v>Partner Alpha</v>
      </c>
      <c r="H272" s="11" t="n">
        <f aca="false">INDEX(Merchant_Map!$G$5:$G$24,MATCH(B272,Merchant_Map!$A$5:$A$24,0))</f>
        <v>0.4</v>
      </c>
      <c r="I272" s="14" t="n">
        <f aca="false">F272*H272</f>
        <v>137.04</v>
      </c>
      <c r="J272" s="14" t="n">
        <f aca="false">F272-I272</f>
        <v>205.56</v>
      </c>
    </row>
    <row r="273" customFormat="false" ht="15" hidden="false" customHeight="false" outlineLevel="0" collapsed="false">
      <c r="A273" s="6" t="s">
        <v>135</v>
      </c>
      <c r="B273" s="6" t="s">
        <v>104</v>
      </c>
      <c r="C273" s="6" t="s">
        <v>81</v>
      </c>
      <c r="D273" s="6" t="s">
        <v>124</v>
      </c>
      <c r="E273" s="12" t="n">
        <v>568568</v>
      </c>
      <c r="F273" s="13" t="n">
        <v>2729.13</v>
      </c>
      <c r="G273" s="5" t="str">
        <f aca="false">INDEX(Merchant_Map!$E$5:$E$24,MATCH(B273,Merchant_Map!$A$5:$A$24,0))</f>
        <v>Partner Alpha</v>
      </c>
      <c r="H273" s="11" t="n">
        <f aca="false">INDEX(Merchant_Map!$G$5:$G$24,MATCH(B273,Merchant_Map!$A$5:$A$24,0))</f>
        <v>0.4</v>
      </c>
      <c r="I273" s="14" t="n">
        <f aca="false">F273*H273</f>
        <v>1091.652</v>
      </c>
      <c r="J273" s="14" t="n">
        <f aca="false">F273-I273</f>
        <v>1637.478</v>
      </c>
    </row>
    <row r="274" customFormat="false" ht="15" hidden="false" customHeight="false" outlineLevel="0" collapsed="false">
      <c r="A274" s="6" t="s">
        <v>135</v>
      </c>
      <c r="B274" s="6" t="s">
        <v>104</v>
      </c>
      <c r="C274" s="6" t="s">
        <v>75</v>
      </c>
      <c r="D274" s="6" t="s">
        <v>136</v>
      </c>
      <c r="E274" s="12" t="n">
        <v>0</v>
      </c>
      <c r="F274" s="13" t="n">
        <v>359.45</v>
      </c>
      <c r="G274" s="5" t="str">
        <f aca="false">INDEX(Merchant_Map!$E$5:$E$24,MATCH(B274,Merchant_Map!$A$5:$A$24,0))</f>
        <v>Partner Alpha</v>
      </c>
      <c r="H274" s="11" t="n">
        <f aca="false">INDEX(Merchant_Map!$G$5:$G$24,MATCH(B274,Merchant_Map!$A$5:$A$24,0))</f>
        <v>0.4</v>
      </c>
      <c r="I274" s="14" t="n">
        <f aca="false">F274*H274</f>
        <v>143.78</v>
      </c>
      <c r="J274" s="14" t="n">
        <f aca="false">F274-I274</f>
        <v>215.67</v>
      </c>
    </row>
    <row r="275" customFormat="false" ht="15" hidden="false" customHeight="false" outlineLevel="0" collapsed="false">
      <c r="A275" s="6" t="s">
        <v>123</v>
      </c>
      <c r="B275" s="6" t="s">
        <v>106</v>
      </c>
      <c r="C275" s="6" t="s">
        <v>70</v>
      </c>
      <c r="D275" s="6" t="s">
        <v>124</v>
      </c>
      <c r="E275" s="12" t="n">
        <v>1105858</v>
      </c>
      <c r="F275" s="13" t="n">
        <v>3538.75</v>
      </c>
      <c r="G275" s="5" t="str">
        <f aca="false">INDEX(Merchant_Map!$E$5:$E$24,MATCH(B275,Merchant_Map!$A$5:$A$24,0))</f>
        <v>Partner Beta</v>
      </c>
      <c r="H275" s="11" t="n">
        <f aca="false">INDEX(Merchant_Map!$G$5:$G$24,MATCH(B275,Merchant_Map!$A$5:$A$24,0))</f>
        <v>0.35</v>
      </c>
      <c r="I275" s="14" t="n">
        <f aca="false">F275*H275</f>
        <v>1238.5625</v>
      </c>
      <c r="J275" s="14" t="n">
        <f aca="false">F275-I275</f>
        <v>2300.1875</v>
      </c>
    </row>
    <row r="276" customFormat="false" ht="15" hidden="false" customHeight="false" outlineLevel="0" collapsed="false">
      <c r="A276" s="6" t="s">
        <v>125</v>
      </c>
      <c r="B276" s="6" t="s">
        <v>106</v>
      </c>
      <c r="C276" s="6" t="s">
        <v>70</v>
      </c>
      <c r="D276" s="6" t="s">
        <v>124</v>
      </c>
      <c r="E276" s="12" t="n">
        <v>1027743</v>
      </c>
      <c r="F276" s="13" t="n">
        <v>3288.78</v>
      </c>
      <c r="G276" s="5" t="str">
        <f aca="false">INDEX(Merchant_Map!$E$5:$E$24,MATCH(B276,Merchant_Map!$A$5:$A$24,0))</f>
        <v>Partner Beta</v>
      </c>
      <c r="H276" s="11" t="n">
        <f aca="false">INDEX(Merchant_Map!$G$5:$G$24,MATCH(B276,Merchant_Map!$A$5:$A$24,0))</f>
        <v>0.35</v>
      </c>
      <c r="I276" s="14" t="n">
        <f aca="false">F276*H276</f>
        <v>1151.073</v>
      </c>
      <c r="J276" s="14" t="n">
        <f aca="false">F276-I276</f>
        <v>2137.707</v>
      </c>
    </row>
    <row r="277" customFormat="false" ht="15" hidden="false" customHeight="false" outlineLevel="0" collapsed="false">
      <c r="A277" s="6" t="s">
        <v>126</v>
      </c>
      <c r="B277" s="6" t="s">
        <v>106</v>
      </c>
      <c r="C277" s="6" t="s">
        <v>70</v>
      </c>
      <c r="D277" s="6" t="s">
        <v>124</v>
      </c>
      <c r="E277" s="12" t="n">
        <v>1106713</v>
      </c>
      <c r="F277" s="13" t="n">
        <v>3541.48</v>
      </c>
      <c r="G277" s="5" t="str">
        <f aca="false">INDEX(Merchant_Map!$E$5:$E$24,MATCH(B277,Merchant_Map!$A$5:$A$24,0))</f>
        <v>Partner Beta</v>
      </c>
      <c r="H277" s="11" t="n">
        <f aca="false">INDEX(Merchant_Map!$G$5:$G$24,MATCH(B277,Merchant_Map!$A$5:$A$24,0))</f>
        <v>0.35</v>
      </c>
      <c r="I277" s="14" t="n">
        <f aca="false">F277*H277</f>
        <v>1239.518</v>
      </c>
      <c r="J277" s="14" t="n">
        <f aca="false">F277-I277</f>
        <v>2301.962</v>
      </c>
    </row>
    <row r="278" customFormat="false" ht="15" hidden="false" customHeight="false" outlineLevel="0" collapsed="false">
      <c r="A278" s="6" t="s">
        <v>127</v>
      </c>
      <c r="B278" s="6" t="s">
        <v>106</v>
      </c>
      <c r="C278" s="6" t="s">
        <v>70</v>
      </c>
      <c r="D278" s="6" t="s">
        <v>124</v>
      </c>
      <c r="E278" s="12" t="n">
        <v>1077226</v>
      </c>
      <c r="F278" s="13" t="n">
        <v>3447.12</v>
      </c>
      <c r="G278" s="5" t="str">
        <f aca="false">INDEX(Merchant_Map!$E$5:$E$24,MATCH(B278,Merchant_Map!$A$5:$A$24,0))</f>
        <v>Partner Beta</v>
      </c>
      <c r="H278" s="11" t="n">
        <f aca="false">INDEX(Merchant_Map!$G$5:$G$24,MATCH(B278,Merchant_Map!$A$5:$A$24,0))</f>
        <v>0.35</v>
      </c>
      <c r="I278" s="14" t="n">
        <f aca="false">F278*H278</f>
        <v>1206.492</v>
      </c>
      <c r="J278" s="14" t="n">
        <f aca="false">F278-I278</f>
        <v>2240.628</v>
      </c>
    </row>
    <row r="279" customFormat="false" ht="15" hidden="false" customHeight="false" outlineLevel="0" collapsed="false">
      <c r="A279" s="6" t="s">
        <v>128</v>
      </c>
      <c r="B279" s="6" t="s">
        <v>106</v>
      </c>
      <c r="C279" s="6" t="s">
        <v>70</v>
      </c>
      <c r="D279" s="6" t="s">
        <v>124</v>
      </c>
      <c r="E279" s="12" t="n">
        <v>1085943</v>
      </c>
      <c r="F279" s="13" t="n">
        <v>3475.02</v>
      </c>
      <c r="G279" s="5" t="str">
        <f aca="false">INDEX(Merchant_Map!$E$5:$E$24,MATCH(B279,Merchant_Map!$A$5:$A$24,0))</f>
        <v>Partner Beta</v>
      </c>
      <c r="H279" s="11" t="n">
        <f aca="false">INDEX(Merchant_Map!$G$5:$G$24,MATCH(B279,Merchant_Map!$A$5:$A$24,0))</f>
        <v>0.35</v>
      </c>
      <c r="I279" s="14" t="n">
        <f aca="false">F279*H279</f>
        <v>1216.257</v>
      </c>
      <c r="J279" s="14" t="n">
        <f aca="false">F279-I279</f>
        <v>2258.763</v>
      </c>
    </row>
    <row r="280" customFormat="false" ht="15" hidden="false" customHeight="false" outlineLevel="0" collapsed="false">
      <c r="A280" s="6" t="s">
        <v>129</v>
      </c>
      <c r="B280" s="6" t="s">
        <v>106</v>
      </c>
      <c r="C280" s="6" t="s">
        <v>70</v>
      </c>
      <c r="D280" s="6" t="s">
        <v>124</v>
      </c>
      <c r="E280" s="12" t="n">
        <v>1170095</v>
      </c>
      <c r="F280" s="13" t="n">
        <v>3744.3</v>
      </c>
      <c r="G280" s="5" t="str">
        <f aca="false">INDEX(Merchant_Map!$E$5:$E$24,MATCH(B280,Merchant_Map!$A$5:$A$24,0))</f>
        <v>Partner Beta</v>
      </c>
      <c r="H280" s="11" t="n">
        <f aca="false">INDEX(Merchant_Map!$G$5:$G$24,MATCH(B280,Merchant_Map!$A$5:$A$24,0))</f>
        <v>0.35</v>
      </c>
      <c r="I280" s="14" t="n">
        <f aca="false">F280*H280</f>
        <v>1310.505</v>
      </c>
      <c r="J280" s="14" t="n">
        <f aca="false">F280-I280</f>
        <v>2433.795</v>
      </c>
    </row>
    <row r="281" customFormat="false" ht="15" hidden="false" customHeight="false" outlineLevel="0" collapsed="false">
      <c r="A281" s="6" t="s">
        <v>130</v>
      </c>
      <c r="B281" s="6" t="s">
        <v>106</v>
      </c>
      <c r="C281" s="6" t="s">
        <v>70</v>
      </c>
      <c r="D281" s="6" t="s">
        <v>124</v>
      </c>
      <c r="E281" s="12" t="n">
        <v>1189269</v>
      </c>
      <c r="F281" s="13" t="n">
        <v>3805.66</v>
      </c>
      <c r="G281" s="5" t="str">
        <f aca="false">INDEX(Merchant_Map!$E$5:$E$24,MATCH(B281,Merchant_Map!$A$5:$A$24,0))</f>
        <v>Partner Beta</v>
      </c>
      <c r="H281" s="11" t="n">
        <f aca="false">INDEX(Merchant_Map!$G$5:$G$24,MATCH(B281,Merchant_Map!$A$5:$A$24,0))</f>
        <v>0.35</v>
      </c>
      <c r="I281" s="14" t="n">
        <f aca="false">F281*H281</f>
        <v>1331.981</v>
      </c>
      <c r="J281" s="14" t="n">
        <f aca="false">F281-I281</f>
        <v>2473.679</v>
      </c>
    </row>
    <row r="282" customFormat="false" ht="15" hidden="false" customHeight="false" outlineLevel="0" collapsed="false">
      <c r="A282" s="6" t="s">
        <v>131</v>
      </c>
      <c r="B282" s="6" t="s">
        <v>106</v>
      </c>
      <c r="C282" s="6" t="s">
        <v>70</v>
      </c>
      <c r="D282" s="6" t="s">
        <v>124</v>
      </c>
      <c r="E282" s="12" t="n">
        <v>1143606</v>
      </c>
      <c r="F282" s="13" t="n">
        <v>3659.54</v>
      </c>
      <c r="G282" s="5" t="str">
        <f aca="false">INDEX(Merchant_Map!$E$5:$E$24,MATCH(B282,Merchant_Map!$A$5:$A$24,0))</f>
        <v>Partner Beta</v>
      </c>
      <c r="H282" s="11" t="n">
        <f aca="false">INDEX(Merchant_Map!$G$5:$G$24,MATCH(B282,Merchant_Map!$A$5:$A$24,0))</f>
        <v>0.35</v>
      </c>
      <c r="I282" s="14" t="n">
        <f aca="false">F282*H282</f>
        <v>1280.839</v>
      </c>
      <c r="J282" s="14" t="n">
        <f aca="false">F282-I282</f>
        <v>2378.701</v>
      </c>
    </row>
    <row r="283" customFormat="false" ht="15" hidden="false" customHeight="false" outlineLevel="0" collapsed="false">
      <c r="A283" s="6" t="s">
        <v>132</v>
      </c>
      <c r="B283" s="6" t="s">
        <v>106</v>
      </c>
      <c r="C283" s="6" t="s">
        <v>70</v>
      </c>
      <c r="D283" s="6" t="s">
        <v>124</v>
      </c>
      <c r="E283" s="12" t="n">
        <v>1179767</v>
      </c>
      <c r="F283" s="13" t="n">
        <v>3775.25</v>
      </c>
      <c r="G283" s="5" t="str">
        <f aca="false">INDEX(Merchant_Map!$E$5:$E$24,MATCH(B283,Merchant_Map!$A$5:$A$24,0))</f>
        <v>Partner Beta</v>
      </c>
      <c r="H283" s="11" t="n">
        <f aca="false">INDEX(Merchant_Map!$G$5:$G$24,MATCH(B283,Merchant_Map!$A$5:$A$24,0))</f>
        <v>0.35</v>
      </c>
      <c r="I283" s="14" t="n">
        <f aca="false">F283*H283</f>
        <v>1321.3375</v>
      </c>
      <c r="J283" s="14" t="n">
        <f aca="false">F283-I283</f>
        <v>2453.9125</v>
      </c>
    </row>
    <row r="284" customFormat="false" ht="15" hidden="false" customHeight="false" outlineLevel="0" collapsed="false">
      <c r="A284" s="6" t="s">
        <v>133</v>
      </c>
      <c r="B284" s="6" t="s">
        <v>106</v>
      </c>
      <c r="C284" s="6" t="s">
        <v>70</v>
      </c>
      <c r="D284" s="6" t="s">
        <v>124</v>
      </c>
      <c r="E284" s="12" t="n">
        <v>1115237</v>
      </c>
      <c r="F284" s="13" t="n">
        <v>3568.76</v>
      </c>
      <c r="G284" s="5" t="str">
        <f aca="false">INDEX(Merchant_Map!$E$5:$E$24,MATCH(B284,Merchant_Map!$A$5:$A$24,0))</f>
        <v>Partner Beta</v>
      </c>
      <c r="H284" s="11" t="n">
        <f aca="false">INDEX(Merchant_Map!$G$5:$G$24,MATCH(B284,Merchant_Map!$A$5:$A$24,0))</f>
        <v>0.35</v>
      </c>
      <c r="I284" s="14" t="n">
        <f aca="false">F284*H284</f>
        <v>1249.066</v>
      </c>
      <c r="J284" s="14" t="n">
        <f aca="false">F284-I284</f>
        <v>2319.694</v>
      </c>
    </row>
    <row r="285" customFormat="false" ht="15" hidden="false" customHeight="false" outlineLevel="0" collapsed="false">
      <c r="A285" s="6" t="s">
        <v>134</v>
      </c>
      <c r="B285" s="6" t="s">
        <v>106</v>
      </c>
      <c r="C285" s="6" t="s">
        <v>70</v>
      </c>
      <c r="D285" s="6" t="s">
        <v>124</v>
      </c>
      <c r="E285" s="12" t="n">
        <v>1148670</v>
      </c>
      <c r="F285" s="13" t="n">
        <v>3675.74</v>
      </c>
      <c r="G285" s="5" t="str">
        <f aca="false">INDEX(Merchant_Map!$E$5:$E$24,MATCH(B285,Merchant_Map!$A$5:$A$24,0))</f>
        <v>Partner Beta</v>
      </c>
      <c r="H285" s="11" t="n">
        <f aca="false">INDEX(Merchant_Map!$G$5:$G$24,MATCH(B285,Merchant_Map!$A$5:$A$24,0))</f>
        <v>0.35</v>
      </c>
      <c r="I285" s="14" t="n">
        <f aca="false">F285*H285</f>
        <v>1286.509</v>
      </c>
      <c r="J285" s="14" t="n">
        <f aca="false">F285-I285</f>
        <v>2389.231</v>
      </c>
    </row>
    <row r="286" customFormat="false" ht="15" hidden="false" customHeight="false" outlineLevel="0" collapsed="false">
      <c r="A286" s="6" t="s">
        <v>135</v>
      </c>
      <c r="B286" s="6" t="s">
        <v>106</v>
      </c>
      <c r="C286" s="6" t="s">
        <v>70</v>
      </c>
      <c r="D286" s="6" t="s">
        <v>124</v>
      </c>
      <c r="E286" s="12" t="n">
        <v>1258539</v>
      </c>
      <c r="F286" s="13" t="n">
        <v>4027.32</v>
      </c>
      <c r="G286" s="5" t="str">
        <f aca="false">INDEX(Merchant_Map!$E$5:$E$24,MATCH(B286,Merchant_Map!$A$5:$A$24,0))</f>
        <v>Partner Beta</v>
      </c>
      <c r="H286" s="11" t="n">
        <f aca="false">INDEX(Merchant_Map!$G$5:$G$24,MATCH(B286,Merchant_Map!$A$5:$A$24,0))</f>
        <v>0.35</v>
      </c>
      <c r="I286" s="14" t="n">
        <f aca="false">F286*H286</f>
        <v>1409.562</v>
      </c>
      <c r="J286" s="14" t="n">
        <f aca="false">F286-I286</f>
        <v>2617.758</v>
      </c>
    </row>
    <row r="287" customFormat="false" ht="15" hidden="false" customHeight="false" outlineLevel="0" collapsed="false">
      <c r="A287" s="6" t="s">
        <v>123</v>
      </c>
      <c r="B287" s="6" t="s">
        <v>108</v>
      </c>
      <c r="C287" s="6" t="s">
        <v>74</v>
      </c>
      <c r="D287" s="6" t="s">
        <v>124</v>
      </c>
      <c r="E287" s="12" t="n">
        <v>756117</v>
      </c>
      <c r="F287" s="13" t="n">
        <v>2117.13</v>
      </c>
      <c r="G287" s="5" t="str">
        <f aca="false">INDEX(Merchant_Map!$E$5:$E$24,MATCH(B287,Merchant_Map!$A$5:$A$24,0))</f>
        <v>House (Direct)</v>
      </c>
      <c r="H287" s="11" t="n">
        <f aca="false">INDEX(Merchant_Map!$G$5:$G$24,MATCH(B287,Merchant_Map!$A$5:$A$24,0))</f>
        <v>0</v>
      </c>
      <c r="I287" s="14" t="n">
        <f aca="false">F287*H287</f>
        <v>0</v>
      </c>
      <c r="J287" s="14" t="n">
        <f aca="false">F287-I287</f>
        <v>2117.13</v>
      </c>
    </row>
    <row r="288" customFormat="false" ht="15" hidden="false" customHeight="false" outlineLevel="0" collapsed="false">
      <c r="A288" s="6" t="s">
        <v>123</v>
      </c>
      <c r="B288" s="6" t="s">
        <v>108</v>
      </c>
      <c r="C288" s="6" t="s">
        <v>75</v>
      </c>
      <c r="D288" s="6" t="s">
        <v>136</v>
      </c>
      <c r="E288" s="12" t="n">
        <v>0</v>
      </c>
      <c r="F288" s="13" t="n">
        <v>469.75</v>
      </c>
      <c r="G288" s="5" t="str">
        <f aca="false">INDEX(Merchant_Map!$E$5:$E$24,MATCH(B288,Merchant_Map!$A$5:$A$24,0))</f>
        <v>House (Direct)</v>
      </c>
      <c r="H288" s="11" t="n">
        <f aca="false">INDEX(Merchant_Map!$G$5:$G$24,MATCH(B288,Merchant_Map!$A$5:$A$24,0))</f>
        <v>0</v>
      </c>
      <c r="I288" s="14" t="n">
        <f aca="false">F288*H288</f>
        <v>0</v>
      </c>
      <c r="J288" s="14" t="n">
        <f aca="false">F288-I288</f>
        <v>469.75</v>
      </c>
    </row>
    <row r="289" customFormat="false" ht="15" hidden="false" customHeight="false" outlineLevel="0" collapsed="false">
      <c r="A289" s="6" t="s">
        <v>125</v>
      </c>
      <c r="B289" s="6" t="s">
        <v>108</v>
      </c>
      <c r="C289" s="6" t="s">
        <v>74</v>
      </c>
      <c r="D289" s="6" t="s">
        <v>124</v>
      </c>
      <c r="E289" s="12" t="n">
        <v>761826</v>
      </c>
      <c r="F289" s="13" t="n">
        <v>2133.11</v>
      </c>
      <c r="G289" s="5" t="str">
        <f aca="false">INDEX(Merchant_Map!$E$5:$E$24,MATCH(B289,Merchant_Map!$A$5:$A$24,0))</f>
        <v>House (Direct)</v>
      </c>
      <c r="H289" s="11" t="n">
        <f aca="false">INDEX(Merchant_Map!$G$5:$G$24,MATCH(B289,Merchant_Map!$A$5:$A$24,0))</f>
        <v>0</v>
      </c>
      <c r="I289" s="14" t="n">
        <f aca="false">F289*H289</f>
        <v>0</v>
      </c>
      <c r="J289" s="14" t="n">
        <f aca="false">F289-I289</f>
        <v>2133.11</v>
      </c>
    </row>
    <row r="290" customFormat="false" ht="15" hidden="false" customHeight="false" outlineLevel="0" collapsed="false">
      <c r="A290" s="6" t="s">
        <v>125</v>
      </c>
      <c r="B290" s="6" t="s">
        <v>108</v>
      </c>
      <c r="C290" s="6" t="s">
        <v>75</v>
      </c>
      <c r="D290" s="6" t="s">
        <v>136</v>
      </c>
      <c r="E290" s="12" t="n">
        <v>0</v>
      </c>
      <c r="F290" s="13" t="n">
        <v>473.15</v>
      </c>
      <c r="G290" s="5" t="str">
        <f aca="false">INDEX(Merchant_Map!$E$5:$E$24,MATCH(B290,Merchant_Map!$A$5:$A$24,0))</f>
        <v>House (Direct)</v>
      </c>
      <c r="H290" s="11" t="n">
        <f aca="false">INDEX(Merchant_Map!$G$5:$G$24,MATCH(B290,Merchant_Map!$A$5:$A$24,0))</f>
        <v>0</v>
      </c>
      <c r="I290" s="14" t="n">
        <f aca="false">F290*H290</f>
        <v>0</v>
      </c>
      <c r="J290" s="14" t="n">
        <f aca="false">F290-I290</f>
        <v>473.15</v>
      </c>
    </row>
    <row r="291" customFormat="false" ht="15" hidden="false" customHeight="false" outlineLevel="0" collapsed="false">
      <c r="A291" s="6" t="s">
        <v>126</v>
      </c>
      <c r="B291" s="6" t="s">
        <v>108</v>
      </c>
      <c r="C291" s="6" t="s">
        <v>74</v>
      </c>
      <c r="D291" s="6" t="s">
        <v>124</v>
      </c>
      <c r="E291" s="12" t="n">
        <v>789910</v>
      </c>
      <c r="F291" s="13" t="n">
        <v>2211.75</v>
      </c>
      <c r="G291" s="5" t="str">
        <f aca="false">INDEX(Merchant_Map!$E$5:$E$24,MATCH(B291,Merchant_Map!$A$5:$A$24,0))</f>
        <v>House (Direct)</v>
      </c>
      <c r="H291" s="11" t="n">
        <f aca="false">INDEX(Merchant_Map!$G$5:$G$24,MATCH(B291,Merchant_Map!$A$5:$A$24,0))</f>
        <v>0</v>
      </c>
      <c r="I291" s="14" t="n">
        <f aca="false">F291*H291</f>
        <v>0</v>
      </c>
      <c r="J291" s="14" t="n">
        <f aca="false">F291-I291</f>
        <v>2211.75</v>
      </c>
    </row>
    <row r="292" customFormat="false" ht="15" hidden="false" customHeight="false" outlineLevel="0" collapsed="false">
      <c r="A292" s="6" t="s">
        <v>126</v>
      </c>
      <c r="B292" s="6" t="s">
        <v>108</v>
      </c>
      <c r="C292" s="6" t="s">
        <v>75</v>
      </c>
      <c r="D292" s="6" t="s">
        <v>136</v>
      </c>
      <c r="E292" s="12" t="n">
        <v>0</v>
      </c>
      <c r="F292" s="13" t="n">
        <v>489.65</v>
      </c>
      <c r="G292" s="5" t="str">
        <f aca="false">INDEX(Merchant_Map!$E$5:$E$24,MATCH(B292,Merchant_Map!$A$5:$A$24,0))</f>
        <v>House (Direct)</v>
      </c>
      <c r="H292" s="11" t="n">
        <f aca="false">INDEX(Merchant_Map!$G$5:$G$24,MATCH(B292,Merchant_Map!$A$5:$A$24,0))</f>
        <v>0</v>
      </c>
      <c r="I292" s="14" t="n">
        <f aca="false">F292*H292</f>
        <v>0</v>
      </c>
      <c r="J292" s="14" t="n">
        <f aca="false">F292-I292</f>
        <v>489.65</v>
      </c>
    </row>
    <row r="293" customFormat="false" ht="15" hidden="false" customHeight="false" outlineLevel="0" collapsed="false">
      <c r="A293" s="6" t="s">
        <v>127</v>
      </c>
      <c r="B293" s="6" t="s">
        <v>108</v>
      </c>
      <c r="C293" s="6" t="s">
        <v>74</v>
      </c>
      <c r="D293" s="6" t="s">
        <v>124</v>
      </c>
      <c r="E293" s="12" t="n">
        <v>735037</v>
      </c>
      <c r="F293" s="13" t="n">
        <v>2058.1</v>
      </c>
      <c r="G293" s="5" t="str">
        <f aca="false">INDEX(Merchant_Map!$E$5:$E$24,MATCH(B293,Merchant_Map!$A$5:$A$24,0))</f>
        <v>House (Direct)</v>
      </c>
      <c r="H293" s="11" t="n">
        <f aca="false">INDEX(Merchant_Map!$G$5:$G$24,MATCH(B293,Merchant_Map!$A$5:$A$24,0))</f>
        <v>0</v>
      </c>
      <c r="I293" s="14" t="n">
        <f aca="false">F293*H293</f>
        <v>0</v>
      </c>
      <c r="J293" s="14" t="n">
        <f aca="false">F293-I293</f>
        <v>2058.1</v>
      </c>
    </row>
    <row r="294" customFormat="false" ht="15" hidden="false" customHeight="false" outlineLevel="0" collapsed="false">
      <c r="A294" s="6" t="s">
        <v>127</v>
      </c>
      <c r="B294" s="6" t="s">
        <v>108</v>
      </c>
      <c r="C294" s="6" t="s">
        <v>75</v>
      </c>
      <c r="D294" s="6" t="s">
        <v>136</v>
      </c>
      <c r="E294" s="12" t="n">
        <v>0</v>
      </c>
      <c r="F294" s="13" t="n">
        <v>457.35</v>
      </c>
      <c r="G294" s="5" t="str">
        <f aca="false">INDEX(Merchant_Map!$E$5:$E$24,MATCH(B294,Merchant_Map!$A$5:$A$24,0))</f>
        <v>House (Direct)</v>
      </c>
      <c r="H294" s="11" t="n">
        <f aca="false">INDEX(Merchant_Map!$G$5:$G$24,MATCH(B294,Merchant_Map!$A$5:$A$24,0))</f>
        <v>0</v>
      </c>
      <c r="I294" s="14" t="n">
        <f aca="false">F294*H294</f>
        <v>0</v>
      </c>
      <c r="J294" s="14" t="n">
        <f aca="false">F294-I294</f>
        <v>457.35</v>
      </c>
    </row>
    <row r="295" customFormat="false" ht="15" hidden="false" customHeight="false" outlineLevel="0" collapsed="false">
      <c r="A295" s="6" t="s">
        <v>128</v>
      </c>
      <c r="B295" s="6" t="s">
        <v>108</v>
      </c>
      <c r="C295" s="6" t="s">
        <v>74</v>
      </c>
      <c r="D295" s="6" t="s">
        <v>124</v>
      </c>
      <c r="E295" s="12" t="n">
        <v>793540</v>
      </c>
      <c r="F295" s="13" t="n">
        <v>2221.91</v>
      </c>
      <c r="G295" s="5" t="str">
        <f aca="false">INDEX(Merchant_Map!$E$5:$E$24,MATCH(B295,Merchant_Map!$A$5:$A$24,0))</f>
        <v>House (Direct)</v>
      </c>
      <c r="H295" s="11" t="n">
        <f aca="false">INDEX(Merchant_Map!$G$5:$G$24,MATCH(B295,Merchant_Map!$A$5:$A$24,0))</f>
        <v>0</v>
      </c>
      <c r="I295" s="14" t="n">
        <f aca="false">F295*H295</f>
        <v>0</v>
      </c>
      <c r="J295" s="14" t="n">
        <f aca="false">F295-I295</f>
        <v>2221.91</v>
      </c>
    </row>
    <row r="296" customFormat="false" ht="15" hidden="false" customHeight="false" outlineLevel="0" collapsed="false">
      <c r="A296" s="6" t="s">
        <v>128</v>
      </c>
      <c r="B296" s="6" t="s">
        <v>108</v>
      </c>
      <c r="C296" s="6" t="s">
        <v>75</v>
      </c>
      <c r="D296" s="6" t="s">
        <v>136</v>
      </c>
      <c r="E296" s="12" t="n">
        <v>0</v>
      </c>
      <c r="F296" s="13" t="n">
        <v>491.8</v>
      </c>
      <c r="G296" s="5" t="str">
        <f aca="false">INDEX(Merchant_Map!$E$5:$E$24,MATCH(B296,Merchant_Map!$A$5:$A$24,0))</f>
        <v>House (Direct)</v>
      </c>
      <c r="H296" s="11" t="n">
        <f aca="false">INDEX(Merchant_Map!$G$5:$G$24,MATCH(B296,Merchant_Map!$A$5:$A$24,0))</f>
        <v>0</v>
      </c>
      <c r="I296" s="14" t="n">
        <f aca="false">F296*H296</f>
        <v>0</v>
      </c>
      <c r="J296" s="14" t="n">
        <f aca="false">F296-I296</f>
        <v>491.8</v>
      </c>
    </row>
    <row r="297" customFormat="false" ht="15" hidden="false" customHeight="false" outlineLevel="0" collapsed="false">
      <c r="A297" s="6" t="s">
        <v>129</v>
      </c>
      <c r="B297" s="6" t="s">
        <v>108</v>
      </c>
      <c r="C297" s="6" t="s">
        <v>74</v>
      </c>
      <c r="D297" s="6" t="s">
        <v>124</v>
      </c>
      <c r="E297" s="12" t="n">
        <v>795304</v>
      </c>
      <c r="F297" s="13" t="n">
        <v>2226.85</v>
      </c>
      <c r="G297" s="5" t="str">
        <f aca="false">INDEX(Merchant_Map!$E$5:$E$24,MATCH(B297,Merchant_Map!$A$5:$A$24,0))</f>
        <v>House (Direct)</v>
      </c>
      <c r="H297" s="11" t="n">
        <f aca="false">INDEX(Merchant_Map!$G$5:$G$24,MATCH(B297,Merchant_Map!$A$5:$A$24,0))</f>
        <v>0</v>
      </c>
      <c r="I297" s="14" t="n">
        <f aca="false">F297*H297</f>
        <v>0</v>
      </c>
      <c r="J297" s="14" t="n">
        <f aca="false">F297-I297</f>
        <v>2226.85</v>
      </c>
    </row>
    <row r="298" customFormat="false" ht="15" hidden="false" customHeight="false" outlineLevel="0" collapsed="false">
      <c r="A298" s="6" t="s">
        <v>129</v>
      </c>
      <c r="B298" s="6" t="s">
        <v>108</v>
      </c>
      <c r="C298" s="6" t="s">
        <v>75</v>
      </c>
      <c r="D298" s="6" t="s">
        <v>136</v>
      </c>
      <c r="E298" s="12" t="n">
        <v>0</v>
      </c>
      <c r="F298" s="13" t="n">
        <v>492.85</v>
      </c>
      <c r="G298" s="5" t="str">
        <f aca="false">INDEX(Merchant_Map!$E$5:$E$24,MATCH(B298,Merchant_Map!$A$5:$A$24,0))</f>
        <v>House (Direct)</v>
      </c>
      <c r="H298" s="11" t="n">
        <f aca="false">INDEX(Merchant_Map!$G$5:$G$24,MATCH(B298,Merchant_Map!$A$5:$A$24,0))</f>
        <v>0</v>
      </c>
      <c r="I298" s="14" t="n">
        <f aca="false">F298*H298</f>
        <v>0</v>
      </c>
      <c r="J298" s="14" t="n">
        <f aca="false">F298-I298</f>
        <v>492.85</v>
      </c>
    </row>
    <row r="299" customFormat="false" ht="15" hidden="false" customHeight="false" outlineLevel="0" collapsed="false">
      <c r="A299" s="6" t="s">
        <v>130</v>
      </c>
      <c r="B299" s="6" t="s">
        <v>108</v>
      </c>
      <c r="C299" s="6" t="s">
        <v>74</v>
      </c>
      <c r="D299" s="6" t="s">
        <v>124</v>
      </c>
      <c r="E299" s="12" t="n">
        <v>838627</v>
      </c>
      <c r="F299" s="13" t="n">
        <v>2348.16</v>
      </c>
      <c r="G299" s="5" t="str">
        <f aca="false">INDEX(Merchant_Map!$E$5:$E$24,MATCH(B299,Merchant_Map!$A$5:$A$24,0))</f>
        <v>House (Direct)</v>
      </c>
      <c r="H299" s="11" t="n">
        <f aca="false">INDEX(Merchant_Map!$G$5:$G$24,MATCH(B299,Merchant_Map!$A$5:$A$24,0))</f>
        <v>0</v>
      </c>
      <c r="I299" s="14" t="n">
        <f aca="false">F299*H299</f>
        <v>0</v>
      </c>
      <c r="J299" s="14" t="n">
        <f aca="false">F299-I299</f>
        <v>2348.16</v>
      </c>
    </row>
    <row r="300" customFormat="false" ht="15" hidden="false" customHeight="false" outlineLevel="0" collapsed="false">
      <c r="A300" s="6" t="s">
        <v>130</v>
      </c>
      <c r="B300" s="6" t="s">
        <v>108</v>
      </c>
      <c r="C300" s="6" t="s">
        <v>75</v>
      </c>
      <c r="D300" s="6" t="s">
        <v>136</v>
      </c>
      <c r="E300" s="12" t="n">
        <v>0</v>
      </c>
      <c r="F300" s="13" t="n">
        <v>518.3</v>
      </c>
      <c r="G300" s="5" t="str">
        <f aca="false">INDEX(Merchant_Map!$E$5:$E$24,MATCH(B300,Merchant_Map!$A$5:$A$24,0))</f>
        <v>House (Direct)</v>
      </c>
      <c r="H300" s="11" t="n">
        <f aca="false">INDEX(Merchant_Map!$G$5:$G$24,MATCH(B300,Merchant_Map!$A$5:$A$24,0))</f>
        <v>0</v>
      </c>
      <c r="I300" s="14" t="n">
        <f aca="false">F300*H300</f>
        <v>0</v>
      </c>
      <c r="J300" s="14" t="n">
        <f aca="false">F300-I300</f>
        <v>518.3</v>
      </c>
    </row>
    <row r="301" customFormat="false" ht="15" hidden="false" customHeight="false" outlineLevel="0" collapsed="false">
      <c r="A301" s="6" t="s">
        <v>131</v>
      </c>
      <c r="B301" s="6" t="s">
        <v>108</v>
      </c>
      <c r="C301" s="6" t="s">
        <v>74</v>
      </c>
      <c r="D301" s="6" t="s">
        <v>124</v>
      </c>
      <c r="E301" s="12" t="n">
        <v>780756</v>
      </c>
      <c r="F301" s="13" t="n">
        <v>2186.12</v>
      </c>
      <c r="G301" s="5" t="str">
        <f aca="false">INDEX(Merchant_Map!$E$5:$E$24,MATCH(B301,Merchant_Map!$A$5:$A$24,0))</f>
        <v>House (Direct)</v>
      </c>
      <c r="H301" s="11" t="n">
        <f aca="false">INDEX(Merchant_Map!$G$5:$G$24,MATCH(B301,Merchant_Map!$A$5:$A$24,0))</f>
        <v>0</v>
      </c>
      <c r="I301" s="14" t="n">
        <f aca="false">F301*H301</f>
        <v>0</v>
      </c>
      <c r="J301" s="14" t="n">
        <f aca="false">F301-I301</f>
        <v>2186.12</v>
      </c>
    </row>
    <row r="302" customFormat="false" ht="15" hidden="false" customHeight="false" outlineLevel="0" collapsed="false">
      <c r="A302" s="6" t="s">
        <v>131</v>
      </c>
      <c r="B302" s="6" t="s">
        <v>108</v>
      </c>
      <c r="C302" s="6" t="s">
        <v>75</v>
      </c>
      <c r="D302" s="6" t="s">
        <v>136</v>
      </c>
      <c r="E302" s="12" t="n">
        <v>0</v>
      </c>
      <c r="F302" s="13" t="n">
        <v>484.25</v>
      </c>
      <c r="G302" s="5" t="str">
        <f aca="false">INDEX(Merchant_Map!$E$5:$E$24,MATCH(B302,Merchant_Map!$A$5:$A$24,0))</f>
        <v>House (Direct)</v>
      </c>
      <c r="H302" s="11" t="n">
        <f aca="false">INDEX(Merchant_Map!$G$5:$G$24,MATCH(B302,Merchant_Map!$A$5:$A$24,0))</f>
        <v>0</v>
      </c>
      <c r="I302" s="14" t="n">
        <f aca="false">F302*H302</f>
        <v>0</v>
      </c>
      <c r="J302" s="14" t="n">
        <f aca="false">F302-I302</f>
        <v>484.25</v>
      </c>
    </row>
    <row r="303" customFormat="false" ht="15" hidden="false" customHeight="false" outlineLevel="0" collapsed="false">
      <c r="A303" s="6" t="s">
        <v>132</v>
      </c>
      <c r="B303" s="6" t="s">
        <v>108</v>
      </c>
      <c r="C303" s="6" t="s">
        <v>74</v>
      </c>
      <c r="D303" s="6" t="s">
        <v>124</v>
      </c>
      <c r="E303" s="12" t="n">
        <v>869559</v>
      </c>
      <c r="F303" s="13" t="n">
        <v>2434.77</v>
      </c>
      <c r="G303" s="5" t="str">
        <f aca="false">INDEX(Merchant_Map!$E$5:$E$24,MATCH(B303,Merchant_Map!$A$5:$A$24,0))</f>
        <v>House (Direct)</v>
      </c>
      <c r="H303" s="11" t="n">
        <f aca="false">INDEX(Merchant_Map!$G$5:$G$24,MATCH(B303,Merchant_Map!$A$5:$A$24,0))</f>
        <v>0</v>
      </c>
      <c r="I303" s="14" t="n">
        <f aca="false">F303*H303</f>
        <v>0</v>
      </c>
      <c r="J303" s="14" t="n">
        <f aca="false">F303-I303</f>
        <v>2434.77</v>
      </c>
    </row>
    <row r="304" customFormat="false" ht="15" hidden="false" customHeight="false" outlineLevel="0" collapsed="false">
      <c r="A304" s="6" t="s">
        <v>132</v>
      </c>
      <c r="B304" s="6" t="s">
        <v>108</v>
      </c>
      <c r="C304" s="6" t="s">
        <v>75</v>
      </c>
      <c r="D304" s="6" t="s">
        <v>136</v>
      </c>
      <c r="E304" s="12" t="n">
        <v>0</v>
      </c>
      <c r="F304" s="13" t="n">
        <v>536.5</v>
      </c>
      <c r="G304" s="5" t="str">
        <f aca="false">INDEX(Merchant_Map!$E$5:$E$24,MATCH(B304,Merchant_Map!$A$5:$A$24,0))</f>
        <v>House (Direct)</v>
      </c>
      <c r="H304" s="11" t="n">
        <f aca="false">INDEX(Merchant_Map!$G$5:$G$24,MATCH(B304,Merchant_Map!$A$5:$A$24,0))</f>
        <v>0</v>
      </c>
      <c r="I304" s="14" t="n">
        <f aca="false">F304*H304</f>
        <v>0</v>
      </c>
      <c r="J304" s="14" t="n">
        <f aca="false">F304-I304</f>
        <v>536.5</v>
      </c>
    </row>
    <row r="305" customFormat="false" ht="15" hidden="false" customHeight="false" outlineLevel="0" collapsed="false">
      <c r="A305" s="6" t="s">
        <v>133</v>
      </c>
      <c r="B305" s="6" t="s">
        <v>108</v>
      </c>
      <c r="C305" s="6" t="s">
        <v>74</v>
      </c>
      <c r="D305" s="6" t="s">
        <v>124</v>
      </c>
      <c r="E305" s="12" t="n">
        <v>791869</v>
      </c>
      <c r="F305" s="13" t="n">
        <v>2217.23</v>
      </c>
      <c r="G305" s="5" t="str">
        <f aca="false">INDEX(Merchant_Map!$E$5:$E$24,MATCH(B305,Merchant_Map!$A$5:$A$24,0))</f>
        <v>House (Direct)</v>
      </c>
      <c r="H305" s="11" t="n">
        <f aca="false">INDEX(Merchant_Map!$G$5:$G$24,MATCH(B305,Merchant_Map!$A$5:$A$24,0))</f>
        <v>0</v>
      </c>
      <c r="I305" s="14" t="n">
        <f aca="false">F305*H305</f>
        <v>0</v>
      </c>
      <c r="J305" s="14" t="n">
        <f aca="false">F305-I305</f>
        <v>2217.23</v>
      </c>
    </row>
    <row r="306" customFormat="false" ht="15" hidden="false" customHeight="false" outlineLevel="0" collapsed="false">
      <c r="A306" s="6" t="s">
        <v>133</v>
      </c>
      <c r="B306" s="6" t="s">
        <v>108</v>
      </c>
      <c r="C306" s="6" t="s">
        <v>75</v>
      </c>
      <c r="D306" s="6" t="s">
        <v>136</v>
      </c>
      <c r="E306" s="12" t="n">
        <v>0</v>
      </c>
      <c r="F306" s="13" t="n">
        <v>490.8</v>
      </c>
      <c r="G306" s="5" t="str">
        <f aca="false">INDEX(Merchant_Map!$E$5:$E$24,MATCH(B306,Merchant_Map!$A$5:$A$24,0))</f>
        <v>House (Direct)</v>
      </c>
      <c r="H306" s="11" t="n">
        <f aca="false">INDEX(Merchant_Map!$G$5:$G$24,MATCH(B306,Merchant_Map!$A$5:$A$24,0))</f>
        <v>0</v>
      </c>
      <c r="I306" s="14" t="n">
        <f aca="false">F306*H306</f>
        <v>0</v>
      </c>
      <c r="J306" s="14" t="n">
        <f aca="false">F306-I306</f>
        <v>490.8</v>
      </c>
    </row>
    <row r="307" customFormat="false" ht="15" hidden="false" customHeight="false" outlineLevel="0" collapsed="false">
      <c r="A307" s="6" t="s">
        <v>134</v>
      </c>
      <c r="B307" s="6" t="s">
        <v>108</v>
      </c>
      <c r="C307" s="6" t="s">
        <v>74</v>
      </c>
      <c r="D307" s="6" t="s">
        <v>124</v>
      </c>
      <c r="E307" s="12" t="n">
        <v>812077</v>
      </c>
      <c r="F307" s="13" t="n">
        <v>2273.82</v>
      </c>
      <c r="G307" s="5" t="str">
        <f aca="false">INDEX(Merchant_Map!$E$5:$E$24,MATCH(B307,Merchant_Map!$A$5:$A$24,0))</f>
        <v>House (Direct)</v>
      </c>
      <c r="H307" s="11" t="n">
        <f aca="false">INDEX(Merchant_Map!$G$5:$G$24,MATCH(B307,Merchant_Map!$A$5:$A$24,0))</f>
        <v>0</v>
      </c>
      <c r="I307" s="14" t="n">
        <f aca="false">F307*H307</f>
        <v>0</v>
      </c>
      <c r="J307" s="14" t="n">
        <f aca="false">F307-I307</f>
        <v>2273.82</v>
      </c>
    </row>
    <row r="308" customFormat="false" ht="15" hidden="false" customHeight="false" outlineLevel="0" collapsed="false">
      <c r="A308" s="6" t="s">
        <v>134</v>
      </c>
      <c r="B308" s="6" t="s">
        <v>108</v>
      </c>
      <c r="C308" s="6" t="s">
        <v>75</v>
      </c>
      <c r="D308" s="6" t="s">
        <v>136</v>
      </c>
      <c r="E308" s="12" t="n">
        <v>0</v>
      </c>
      <c r="F308" s="13" t="n">
        <v>502.7</v>
      </c>
      <c r="G308" s="5" t="str">
        <f aca="false">INDEX(Merchant_Map!$E$5:$E$24,MATCH(B308,Merchant_Map!$A$5:$A$24,0))</f>
        <v>House (Direct)</v>
      </c>
      <c r="H308" s="11" t="n">
        <f aca="false">INDEX(Merchant_Map!$G$5:$G$24,MATCH(B308,Merchant_Map!$A$5:$A$24,0))</f>
        <v>0</v>
      </c>
      <c r="I308" s="14" t="n">
        <f aca="false">F308*H308</f>
        <v>0</v>
      </c>
      <c r="J308" s="14" t="n">
        <f aca="false">F308-I308</f>
        <v>502.7</v>
      </c>
    </row>
    <row r="309" customFormat="false" ht="15" hidden="false" customHeight="false" outlineLevel="0" collapsed="false">
      <c r="A309" s="6" t="s">
        <v>135</v>
      </c>
      <c r="B309" s="6" t="s">
        <v>108</v>
      </c>
      <c r="C309" s="6" t="s">
        <v>74</v>
      </c>
      <c r="D309" s="6" t="s">
        <v>124</v>
      </c>
      <c r="E309" s="12" t="n">
        <v>863758</v>
      </c>
      <c r="F309" s="13" t="n">
        <v>0</v>
      </c>
      <c r="G309" s="5" t="str">
        <f aca="false">INDEX(Merchant_Map!$E$5:$E$24,MATCH(B309,Merchant_Map!$A$5:$A$24,0))</f>
        <v>House (Direct)</v>
      </c>
      <c r="H309" s="11" t="n">
        <f aca="false">INDEX(Merchant_Map!$G$5:$G$24,MATCH(B309,Merchant_Map!$A$5:$A$24,0))</f>
        <v>0</v>
      </c>
      <c r="I309" s="14" t="n">
        <f aca="false">F309*H309</f>
        <v>0</v>
      </c>
      <c r="J309" s="14" t="n">
        <f aca="false">F309-I309</f>
        <v>0</v>
      </c>
    </row>
    <row r="310" customFormat="false" ht="15" hidden="false" customHeight="false" outlineLevel="0" collapsed="false">
      <c r="A310" s="6" t="s">
        <v>135</v>
      </c>
      <c r="B310" s="6" t="s">
        <v>108</v>
      </c>
      <c r="C310" s="6" t="s">
        <v>75</v>
      </c>
      <c r="D310" s="6" t="s">
        <v>136</v>
      </c>
      <c r="E310" s="12" t="n">
        <v>0</v>
      </c>
      <c r="F310" s="13" t="n">
        <v>533.1</v>
      </c>
      <c r="G310" s="5" t="str">
        <f aca="false">INDEX(Merchant_Map!$E$5:$E$24,MATCH(B310,Merchant_Map!$A$5:$A$24,0))</f>
        <v>House (Direct)</v>
      </c>
      <c r="H310" s="11" t="n">
        <f aca="false">INDEX(Merchant_Map!$G$5:$G$24,MATCH(B310,Merchant_Map!$A$5:$A$24,0))</f>
        <v>0</v>
      </c>
      <c r="I310" s="14" t="n">
        <f aca="false">F310*H310</f>
        <v>0</v>
      </c>
      <c r="J310" s="14" t="n">
        <f aca="false">F310-I310</f>
        <v>533.1</v>
      </c>
    </row>
    <row r="311" customFormat="false" ht="15" hidden="false" customHeight="false" outlineLevel="0" collapsed="false">
      <c r="A311" s="6" t="s">
        <v>123</v>
      </c>
      <c r="B311" s="6" t="s">
        <v>110</v>
      </c>
      <c r="C311" s="6" t="s">
        <v>78</v>
      </c>
      <c r="D311" s="6" t="s">
        <v>124</v>
      </c>
      <c r="E311" s="12" t="n">
        <v>633036</v>
      </c>
      <c r="F311" s="13" t="n">
        <v>3481.7</v>
      </c>
      <c r="G311" s="5" t="str">
        <f aca="false">INDEX(Merchant_Map!$E$5:$E$24,MATCH(B311,Merchant_Map!$A$5:$A$24,0))</f>
        <v>Partner Delta</v>
      </c>
      <c r="H311" s="11" t="n">
        <f aca="false">INDEX(Merchant_Map!$G$5:$G$24,MATCH(B311,Merchant_Map!$A$5:$A$24,0))</f>
        <v>0.5</v>
      </c>
      <c r="I311" s="14" t="n">
        <f aca="false">F311*H311</f>
        <v>1740.85</v>
      </c>
      <c r="J311" s="14" t="n">
        <f aca="false">F311-I311</f>
        <v>1740.85</v>
      </c>
    </row>
    <row r="312" customFormat="false" ht="15" hidden="false" customHeight="false" outlineLevel="0" collapsed="false">
      <c r="A312" s="6" t="s">
        <v>125</v>
      </c>
      <c r="B312" s="6" t="s">
        <v>110</v>
      </c>
      <c r="C312" s="6" t="s">
        <v>78</v>
      </c>
      <c r="D312" s="6" t="s">
        <v>124</v>
      </c>
      <c r="E312" s="12" t="n">
        <v>607503</v>
      </c>
      <c r="F312" s="13" t="n">
        <v>3341.27</v>
      </c>
      <c r="G312" s="5" t="str">
        <f aca="false">INDEX(Merchant_Map!$E$5:$E$24,MATCH(B312,Merchant_Map!$A$5:$A$24,0))</f>
        <v>Partner Delta</v>
      </c>
      <c r="H312" s="11" t="n">
        <f aca="false">INDEX(Merchant_Map!$G$5:$G$24,MATCH(B312,Merchant_Map!$A$5:$A$24,0))</f>
        <v>0.5</v>
      </c>
      <c r="I312" s="14" t="n">
        <f aca="false">F312*H312</f>
        <v>1670.635</v>
      </c>
      <c r="J312" s="14" t="n">
        <f aca="false">F312-I312</f>
        <v>1670.635</v>
      </c>
    </row>
    <row r="313" customFormat="false" ht="15" hidden="false" customHeight="false" outlineLevel="0" collapsed="false">
      <c r="A313" s="6" t="s">
        <v>126</v>
      </c>
      <c r="B313" s="6" t="s">
        <v>110</v>
      </c>
      <c r="C313" s="6" t="s">
        <v>78</v>
      </c>
      <c r="D313" s="6" t="s">
        <v>124</v>
      </c>
      <c r="E313" s="12" t="n">
        <v>606006</v>
      </c>
      <c r="F313" s="13" t="n">
        <v>3333.03</v>
      </c>
      <c r="G313" s="5" t="str">
        <f aca="false">INDEX(Merchant_Map!$E$5:$E$24,MATCH(B313,Merchant_Map!$A$5:$A$24,0))</f>
        <v>Partner Delta</v>
      </c>
      <c r="H313" s="11" t="n">
        <f aca="false">INDEX(Merchant_Map!$G$5:$G$24,MATCH(B313,Merchant_Map!$A$5:$A$24,0))</f>
        <v>0.5</v>
      </c>
      <c r="I313" s="14" t="n">
        <f aca="false">F313*H313</f>
        <v>1666.515</v>
      </c>
      <c r="J313" s="14" t="n">
        <f aca="false">F313-I313</f>
        <v>1666.515</v>
      </c>
    </row>
    <row r="314" customFormat="false" ht="15" hidden="false" customHeight="false" outlineLevel="0" collapsed="false">
      <c r="A314" s="6" t="s">
        <v>127</v>
      </c>
      <c r="B314" s="6" t="s">
        <v>110</v>
      </c>
      <c r="C314" s="6" t="s">
        <v>78</v>
      </c>
      <c r="D314" s="6" t="s">
        <v>124</v>
      </c>
      <c r="E314" s="12" t="n">
        <v>672684</v>
      </c>
      <c r="F314" s="13" t="n">
        <v>3699.76</v>
      </c>
      <c r="G314" s="5" t="str">
        <f aca="false">INDEX(Merchant_Map!$E$5:$E$24,MATCH(B314,Merchant_Map!$A$5:$A$24,0))</f>
        <v>Partner Delta</v>
      </c>
      <c r="H314" s="11" t="n">
        <f aca="false">INDEX(Merchant_Map!$G$5:$G$24,MATCH(B314,Merchant_Map!$A$5:$A$24,0))</f>
        <v>0.5</v>
      </c>
      <c r="I314" s="14" t="n">
        <f aca="false">F314*H314</f>
        <v>1849.88</v>
      </c>
      <c r="J314" s="14" t="n">
        <f aca="false">F314-I314</f>
        <v>1849.88</v>
      </c>
    </row>
    <row r="315" customFormat="false" ht="15" hidden="false" customHeight="false" outlineLevel="0" collapsed="false">
      <c r="A315" s="6" t="s">
        <v>128</v>
      </c>
      <c r="B315" s="6" t="s">
        <v>110</v>
      </c>
      <c r="C315" s="6" t="s">
        <v>78</v>
      </c>
      <c r="D315" s="6" t="s">
        <v>124</v>
      </c>
      <c r="E315" s="12" t="n">
        <v>630496</v>
      </c>
      <c r="F315" s="13" t="n">
        <v>3467.73</v>
      </c>
      <c r="G315" s="5" t="str">
        <f aca="false">INDEX(Merchant_Map!$E$5:$E$24,MATCH(B315,Merchant_Map!$A$5:$A$24,0))</f>
        <v>Partner Delta</v>
      </c>
      <c r="H315" s="11" t="n">
        <f aca="false">INDEX(Merchant_Map!$G$5:$G$24,MATCH(B315,Merchant_Map!$A$5:$A$24,0))</f>
        <v>0.5</v>
      </c>
      <c r="I315" s="14" t="n">
        <f aca="false">F315*H315</f>
        <v>1733.865</v>
      </c>
      <c r="J315" s="14" t="n">
        <f aca="false">F315-I315</f>
        <v>1733.865</v>
      </c>
    </row>
    <row r="316" customFormat="false" ht="15" hidden="false" customHeight="false" outlineLevel="0" collapsed="false">
      <c r="A316" s="6" t="s">
        <v>129</v>
      </c>
      <c r="B316" s="6" t="s">
        <v>110</v>
      </c>
      <c r="C316" s="6" t="s">
        <v>78</v>
      </c>
      <c r="D316" s="6" t="s">
        <v>124</v>
      </c>
      <c r="E316" s="12" t="n">
        <v>665568</v>
      </c>
      <c r="F316" s="13" t="n">
        <v>3660.62</v>
      </c>
      <c r="G316" s="5" t="str">
        <f aca="false">INDEX(Merchant_Map!$E$5:$E$24,MATCH(B316,Merchant_Map!$A$5:$A$24,0))</f>
        <v>Partner Delta</v>
      </c>
      <c r="H316" s="11" t="n">
        <f aca="false">INDEX(Merchant_Map!$G$5:$G$24,MATCH(B316,Merchant_Map!$A$5:$A$24,0))</f>
        <v>0.5</v>
      </c>
      <c r="I316" s="14" t="n">
        <f aca="false">F316*H316</f>
        <v>1830.31</v>
      </c>
      <c r="J316" s="14" t="n">
        <f aca="false">F316-I316</f>
        <v>1830.31</v>
      </c>
    </row>
    <row r="317" customFormat="false" ht="15" hidden="false" customHeight="false" outlineLevel="0" collapsed="false">
      <c r="A317" s="6" t="s">
        <v>130</v>
      </c>
      <c r="B317" s="6" t="s">
        <v>110</v>
      </c>
      <c r="C317" s="6" t="s">
        <v>78</v>
      </c>
      <c r="D317" s="6" t="s">
        <v>124</v>
      </c>
      <c r="E317" s="12" t="n">
        <v>675542</v>
      </c>
      <c r="F317" s="13" t="n">
        <v>3715.48</v>
      </c>
      <c r="G317" s="5" t="str">
        <f aca="false">INDEX(Merchant_Map!$E$5:$E$24,MATCH(B317,Merchant_Map!$A$5:$A$24,0))</f>
        <v>Partner Delta</v>
      </c>
      <c r="H317" s="11" t="n">
        <f aca="false">INDEX(Merchant_Map!$G$5:$G$24,MATCH(B317,Merchant_Map!$A$5:$A$24,0))</f>
        <v>0.5</v>
      </c>
      <c r="I317" s="14" t="n">
        <f aca="false">F317*H317</f>
        <v>1857.74</v>
      </c>
      <c r="J317" s="14" t="n">
        <f aca="false">F317-I317</f>
        <v>1857.74</v>
      </c>
    </row>
    <row r="318" customFormat="false" ht="15" hidden="false" customHeight="false" outlineLevel="0" collapsed="false">
      <c r="A318" s="6" t="s">
        <v>131</v>
      </c>
      <c r="B318" s="6" t="s">
        <v>110</v>
      </c>
      <c r="C318" s="6" t="s">
        <v>78</v>
      </c>
      <c r="D318" s="6" t="s">
        <v>124</v>
      </c>
      <c r="E318" s="12" t="n">
        <v>667460</v>
      </c>
      <c r="F318" s="13" t="n">
        <v>3671.03</v>
      </c>
      <c r="G318" s="5" t="str">
        <f aca="false">INDEX(Merchant_Map!$E$5:$E$24,MATCH(B318,Merchant_Map!$A$5:$A$24,0))</f>
        <v>Partner Delta</v>
      </c>
      <c r="H318" s="11" t="n">
        <f aca="false">INDEX(Merchant_Map!$G$5:$G$24,MATCH(B318,Merchant_Map!$A$5:$A$24,0))</f>
        <v>0.5</v>
      </c>
      <c r="I318" s="14" t="n">
        <f aca="false">F318*H318</f>
        <v>1835.515</v>
      </c>
      <c r="J318" s="14" t="n">
        <f aca="false">F318-I318</f>
        <v>1835.515</v>
      </c>
    </row>
    <row r="319" customFormat="false" ht="15" hidden="false" customHeight="false" outlineLevel="0" collapsed="false">
      <c r="A319" s="6" t="s">
        <v>132</v>
      </c>
      <c r="B319" s="6" t="s">
        <v>110</v>
      </c>
      <c r="C319" s="6" t="s">
        <v>78</v>
      </c>
      <c r="D319" s="6" t="s">
        <v>124</v>
      </c>
      <c r="E319" s="12" t="n">
        <v>688929</v>
      </c>
      <c r="F319" s="13" t="n">
        <v>3789.11</v>
      </c>
      <c r="G319" s="5" t="str">
        <f aca="false">INDEX(Merchant_Map!$E$5:$E$24,MATCH(B319,Merchant_Map!$A$5:$A$24,0))</f>
        <v>Partner Delta</v>
      </c>
      <c r="H319" s="11" t="n">
        <f aca="false">INDEX(Merchant_Map!$G$5:$G$24,MATCH(B319,Merchant_Map!$A$5:$A$24,0))</f>
        <v>0.5</v>
      </c>
      <c r="I319" s="14" t="n">
        <f aca="false">F319*H319</f>
        <v>1894.555</v>
      </c>
      <c r="J319" s="14" t="n">
        <f aca="false">F319-I319</f>
        <v>1894.555</v>
      </c>
    </row>
    <row r="320" customFormat="false" ht="15" hidden="false" customHeight="false" outlineLevel="0" collapsed="false">
      <c r="A320" s="6" t="s">
        <v>133</v>
      </c>
      <c r="B320" s="6" t="s">
        <v>110</v>
      </c>
      <c r="C320" s="6" t="s">
        <v>78</v>
      </c>
      <c r="D320" s="6" t="s">
        <v>124</v>
      </c>
      <c r="E320" s="12" t="n">
        <v>692153</v>
      </c>
      <c r="F320" s="13" t="n">
        <v>3806.84</v>
      </c>
      <c r="G320" s="5" t="str">
        <f aca="false">INDEX(Merchant_Map!$E$5:$E$24,MATCH(B320,Merchant_Map!$A$5:$A$24,0))</f>
        <v>Partner Delta</v>
      </c>
      <c r="H320" s="11" t="n">
        <f aca="false">INDEX(Merchant_Map!$G$5:$G$24,MATCH(B320,Merchant_Map!$A$5:$A$24,0))</f>
        <v>0.5</v>
      </c>
      <c r="I320" s="14" t="n">
        <f aca="false">F320*H320</f>
        <v>1903.42</v>
      </c>
      <c r="J320" s="14" t="n">
        <f aca="false">F320-I320</f>
        <v>1903.42</v>
      </c>
    </row>
    <row r="321" customFormat="false" ht="15" hidden="false" customHeight="false" outlineLevel="0" collapsed="false">
      <c r="A321" s="6" t="s">
        <v>134</v>
      </c>
      <c r="B321" s="6" t="s">
        <v>110</v>
      </c>
      <c r="C321" s="6" t="s">
        <v>78</v>
      </c>
      <c r="D321" s="6" t="s">
        <v>124</v>
      </c>
      <c r="E321" s="12" t="n">
        <v>734989</v>
      </c>
      <c r="F321" s="13" t="n">
        <v>4042.44</v>
      </c>
      <c r="G321" s="5" t="str">
        <f aca="false">INDEX(Merchant_Map!$E$5:$E$24,MATCH(B321,Merchant_Map!$A$5:$A$24,0))</f>
        <v>Partner Delta</v>
      </c>
      <c r="H321" s="11" t="n">
        <f aca="false">INDEX(Merchant_Map!$G$5:$G$24,MATCH(B321,Merchant_Map!$A$5:$A$24,0))</f>
        <v>0.5</v>
      </c>
      <c r="I321" s="14" t="n">
        <f aca="false">F321*H321</f>
        <v>2021.22</v>
      </c>
      <c r="J321" s="14" t="n">
        <f aca="false">F321-I321</f>
        <v>2021.22</v>
      </c>
    </row>
    <row r="322" customFormat="false" ht="15" hidden="false" customHeight="false" outlineLevel="0" collapsed="false">
      <c r="A322" s="6" t="s">
        <v>135</v>
      </c>
      <c r="B322" s="6" t="s">
        <v>110</v>
      </c>
      <c r="C322" s="6" t="s">
        <v>78</v>
      </c>
      <c r="D322" s="6" t="s">
        <v>124</v>
      </c>
      <c r="E322" s="12" t="n">
        <v>681843</v>
      </c>
      <c r="F322" s="13" t="n">
        <v>3750.14</v>
      </c>
      <c r="G322" s="5" t="str">
        <f aca="false">INDEX(Merchant_Map!$E$5:$E$24,MATCH(B322,Merchant_Map!$A$5:$A$24,0))</f>
        <v>Partner Delta</v>
      </c>
      <c r="H322" s="11" t="n">
        <f aca="false">INDEX(Merchant_Map!$G$5:$G$24,MATCH(B322,Merchant_Map!$A$5:$A$24,0))</f>
        <v>0.5</v>
      </c>
      <c r="I322" s="14" t="n">
        <f aca="false">F322*H322</f>
        <v>1875.07</v>
      </c>
      <c r="J322" s="14" t="n">
        <f aca="false">F322-I322</f>
        <v>1875.07</v>
      </c>
    </row>
    <row r="323" customFormat="false" ht="15" hidden="false" customHeight="false" outlineLevel="0" collapsed="false">
      <c r="A323" s="6" t="s">
        <v>123</v>
      </c>
      <c r="B323" s="6" t="s">
        <v>112</v>
      </c>
      <c r="C323" s="6" t="s">
        <v>81</v>
      </c>
      <c r="D323" s="6" t="s">
        <v>124</v>
      </c>
      <c r="E323" s="12" t="n">
        <v>891544</v>
      </c>
      <c r="F323" s="13" t="n">
        <v>1961.4</v>
      </c>
      <c r="G323" s="5" t="str">
        <f aca="false">INDEX(Merchant_Map!$E$5:$E$24,MATCH(B323,Merchant_Map!$A$5:$A$24,0))</f>
        <v>Partner Alpha</v>
      </c>
      <c r="H323" s="11" t="n">
        <f aca="false">INDEX(Merchant_Map!$G$5:$G$24,MATCH(B323,Merchant_Map!$A$5:$A$24,0))</f>
        <v>0.4</v>
      </c>
      <c r="I323" s="14" t="n">
        <f aca="false">F323*H323</f>
        <v>784.56</v>
      </c>
      <c r="J323" s="14" t="n">
        <f aca="false">F323-I323</f>
        <v>1176.84</v>
      </c>
    </row>
    <row r="324" customFormat="false" ht="15" hidden="false" customHeight="false" outlineLevel="0" collapsed="false">
      <c r="A324" s="6" t="s">
        <v>123</v>
      </c>
      <c r="B324" s="6" t="s">
        <v>112</v>
      </c>
      <c r="C324" s="6" t="s">
        <v>75</v>
      </c>
      <c r="D324" s="6" t="s">
        <v>136</v>
      </c>
      <c r="E324" s="12" t="n">
        <v>0</v>
      </c>
      <c r="F324" s="13" t="n">
        <v>549.45</v>
      </c>
      <c r="G324" s="5" t="str">
        <f aca="false">INDEX(Merchant_Map!$E$5:$E$24,MATCH(B324,Merchant_Map!$A$5:$A$24,0))</f>
        <v>Partner Alpha</v>
      </c>
      <c r="H324" s="11" t="n">
        <f aca="false">INDEX(Merchant_Map!$G$5:$G$24,MATCH(B324,Merchant_Map!$A$5:$A$24,0))</f>
        <v>0.4</v>
      </c>
      <c r="I324" s="14" t="n">
        <f aca="false">F324*H324</f>
        <v>219.78</v>
      </c>
      <c r="J324" s="14" t="n">
        <f aca="false">F324-I324</f>
        <v>329.67</v>
      </c>
    </row>
    <row r="325" customFormat="false" ht="15" hidden="false" customHeight="false" outlineLevel="0" collapsed="false">
      <c r="A325" s="6" t="s">
        <v>125</v>
      </c>
      <c r="B325" s="6" t="s">
        <v>112</v>
      </c>
      <c r="C325" s="6" t="s">
        <v>81</v>
      </c>
      <c r="D325" s="6" t="s">
        <v>124</v>
      </c>
      <c r="E325" s="12" t="n">
        <v>851851</v>
      </c>
      <c r="F325" s="13" t="n">
        <v>1874.07</v>
      </c>
      <c r="G325" s="5" t="str">
        <f aca="false">INDEX(Merchant_Map!$E$5:$E$24,MATCH(B325,Merchant_Map!$A$5:$A$24,0))</f>
        <v>Partner Alpha</v>
      </c>
      <c r="H325" s="11" t="n">
        <f aca="false">INDEX(Merchant_Map!$G$5:$G$24,MATCH(B325,Merchant_Map!$A$5:$A$24,0))</f>
        <v>0.4</v>
      </c>
      <c r="I325" s="14" t="n">
        <f aca="false">F325*H325</f>
        <v>749.628</v>
      </c>
      <c r="J325" s="14" t="n">
        <f aca="false">F325-I325</f>
        <v>1124.442</v>
      </c>
    </row>
    <row r="326" customFormat="false" ht="15" hidden="false" customHeight="false" outlineLevel="0" collapsed="false">
      <c r="A326" s="6" t="s">
        <v>125</v>
      </c>
      <c r="B326" s="6" t="s">
        <v>112</v>
      </c>
      <c r="C326" s="6" t="s">
        <v>75</v>
      </c>
      <c r="D326" s="6" t="s">
        <v>136</v>
      </c>
      <c r="E326" s="12" t="n">
        <v>0</v>
      </c>
      <c r="F326" s="13" t="n">
        <v>526.1</v>
      </c>
      <c r="G326" s="5" t="str">
        <f aca="false">INDEX(Merchant_Map!$E$5:$E$24,MATCH(B326,Merchant_Map!$A$5:$A$24,0))</f>
        <v>Partner Alpha</v>
      </c>
      <c r="H326" s="11" t="n">
        <f aca="false">INDEX(Merchant_Map!$G$5:$G$24,MATCH(B326,Merchant_Map!$A$5:$A$24,0))</f>
        <v>0.4</v>
      </c>
      <c r="I326" s="14" t="n">
        <f aca="false">F326*H326</f>
        <v>210.44</v>
      </c>
      <c r="J326" s="14" t="n">
        <f aca="false">F326-I326</f>
        <v>315.66</v>
      </c>
    </row>
    <row r="327" customFormat="false" ht="15" hidden="false" customHeight="false" outlineLevel="0" collapsed="false">
      <c r="A327" s="6" t="s">
        <v>126</v>
      </c>
      <c r="B327" s="6" t="s">
        <v>112</v>
      </c>
      <c r="C327" s="6" t="s">
        <v>81</v>
      </c>
      <c r="D327" s="6" t="s">
        <v>124</v>
      </c>
      <c r="E327" s="12" t="n">
        <v>878851</v>
      </c>
      <c r="F327" s="13" t="n">
        <v>1933.47</v>
      </c>
      <c r="G327" s="5" t="str">
        <f aca="false">INDEX(Merchant_Map!$E$5:$E$24,MATCH(B327,Merchant_Map!$A$5:$A$24,0))</f>
        <v>Partner Alpha</v>
      </c>
      <c r="H327" s="11" t="n">
        <f aca="false">INDEX(Merchant_Map!$G$5:$G$24,MATCH(B327,Merchant_Map!$A$5:$A$24,0))</f>
        <v>0.4</v>
      </c>
      <c r="I327" s="14" t="n">
        <f aca="false">F327*H327</f>
        <v>773.388</v>
      </c>
      <c r="J327" s="14" t="n">
        <f aca="false">F327-I327</f>
        <v>1160.082</v>
      </c>
    </row>
    <row r="328" customFormat="false" ht="15" hidden="false" customHeight="false" outlineLevel="0" collapsed="false">
      <c r="A328" s="6" t="s">
        <v>126</v>
      </c>
      <c r="B328" s="6" t="s">
        <v>112</v>
      </c>
      <c r="C328" s="6" t="s">
        <v>75</v>
      </c>
      <c r="D328" s="6" t="s">
        <v>136</v>
      </c>
      <c r="E328" s="12" t="n">
        <v>0</v>
      </c>
      <c r="F328" s="13" t="n">
        <v>541.95</v>
      </c>
      <c r="G328" s="5" t="str">
        <f aca="false">INDEX(Merchant_Map!$E$5:$E$24,MATCH(B328,Merchant_Map!$A$5:$A$24,0))</f>
        <v>Partner Alpha</v>
      </c>
      <c r="H328" s="11" t="n">
        <f aca="false">INDEX(Merchant_Map!$G$5:$G$24,MATCH(B328,Merchant_Map!$A$5:$A$24,0))</f>
        <v>0.4</v>
      </c>
      <c r="I328" s="14" t="n">
        <f aca="false">F328*H328</f>
        <v>216.78</v>
      </c>
      <c r="J328" s="14" t="n">
        <f aca="false">F328-I328</f>
        <v>325.17</v>
      </c>
    </row>
    <row r="329" customFormat="false" ht="15" hidden="false" customHeight="false" outlineLevel="0" collapsed="false">
      <c r="A329" s="6" t="s">
        <v>127</v>
      </c>
      <c r="B329" s="6" t="s">
        <v>112</v>
      </c>
      <c r="C329" s="6" t="s">
        <v>81</v>
      </c>
      <c r="D329" s="6" t="s">
        <v>124</v>
      </c>
      <c r="E329" s="12" t="n">
        <v>919217</v>
      </c>
      <c r="F329" s="13" t="n">
        <v>2022.28</v>
      </c>
      <c r="G329" s="5" t="str">
        <f aca="false">INDEX(Merchant_Map!$E$5:$E$24,MATCH(B329,Merchant_Map!$A$5:$A$24,0))</f>
        <v>Partner Alpha</v>
      </c>
      <c r="H329" s="11" t="n">
        <f aca="false">INDEX(Merchant_Map!$G$5:$G$24,MATCH(B329,Merchant_Map!$A$5:$A$24,0))</f>
        <v>0.4</v>
      </c>
      <c r="I329" s="14" t="n">
        <f aca="false">F329*H329</f>
        <v>808.912</v>
      </c>
      <c r="J329" s="14" t="n">
        <f aca="false">F329-I329</f>
        <v>1213.368</v>
      </c>
    </row>
    <row r="330" customFormat="false" ht="15" hidden="false" customHeight="false" outlineLevel="0" collapsed="false">
      <c r="A330" s="6" t="s">
        <v>127</v>
      </c>
      <c r="B330" s="6" t="s">
        <v>112</v>
      </c>
      <c r="C330" s="6" t="s">
        <v>75</v>
      </c>
      <c r="D330" s="6" t="s">
        <v>136</v>
      </c>
      <c r="E330" s="12" t="n">
        <v>0</v>
      </c>
      <c r="F330" s="13" t="n">
        <v>565.7</v>
      </c>
      <c r="G330" s="5" t="str">
        <f aca="false">INDEX(Merchant_Map!$E$5:$E$24,MATCH(B330,Merchant_Map!$A$5:$A$24,0))</f>
        <v>Partner Alpha</v>
      </c>
      <c r="H330" s="11" t="n">
        <f aca="false">INDEX(Merchant_Map!$G$5:$G$24,MATCH(B330,Merchant_Map!$A$5:$A$24,0))</f>
        <v>0.4</v>
      </c>
      <c r="I330" s="14" t="n">
        <f aca="false">F330*H330</f>
        <v>226.28</v>
      </c>
      <c r="J330" s="14" t="n">
        <f aca="false">F330-I330</f>
        <v>339.42</v>
      </c>
    </row>
    <row r="331" customFormat="false" ht="15" hidden="false" customHeight="false" outlineLevel="0" collapsed="false">
      <c r="A331" s="6" t="s">
        <v>128</v>
      </c>
      <c r="B331" s="6" t="s">
        <v>112</v>
      </c>
      <c r="C331" s="6" t="s">
        <v>81</v>
      </c>
      <c r="D331" s="6" t="s">
        <v>124</v>
      </c>
      <c r="E331" s="12" t="n">
        <v>889593</v>
      </c>
      <c r="F331" s="13" t="n">
        <v>1957.1</v>
      </c>
      <c r="G331" s="5" t="str">
        <f aca="false">INDEX(Merchant_Map!$E$5:$E$24,MATCH(B331,Merchant_Map!$A$5:$A$24,0))</f>
        <v>Partner Alpha</v>
      </c>
      <c r="H331" s="11" t="n">
        <f aca="false">INDEX(Merchant_Map!$G$5:$G$24,MATCH(B331,Merchant_Map!$A$5:$A$24,0))</f>
        <v>0.4</v>
      </c>
      <c r="I331" s="14" t="n">
        <f aca="false">F331*H331</f>
        <v>782.84</v>
      </c>
      <c r="J331" s="14" t="n">
        <f aca="false">F331-I331</f>
        <v>1174.26</v>
      </c>
    </row>
    <row r="332" customFormat="false" ht="15" hidden="false" customHeight="false" outlineLevel="0" collapsed="false">
      <c r="A332" s="6" t="s">
        <v>128</v>
      </c>
      <c r="B332" s="6" t="s">
        <v>112</v>
      </c>
      <c r="C332" s="6" t="s">
        <v>75</v>
      </c>
      <c r="D332" s="6" t="s">
        <v>136</v>
      </c>
      <c r="E332" s="12" t="n">
        <v>0</v>
      </c>
      <c r="F332" s="13" t="n">
        <v>548.3</v>
      </c>
      <c r="G332" s="5" t="str">
        <f aca="false">INDEX(Merchant_Map!$E$5:$E$24,MATCH(B332,Merchant_Map!$A$5:$A$24,0))</f>
        <v>Partner Alpha</v>
      </c>
      <c r="H332" s="11" t="n">
        <f aca="false">INDEX(Merchant_Map!$G$5:$G$24,MATCH(B332,Merchant_Map!$A$5:$A$24,0))</f>
        <v>0.4</v>
      </c>
      <c r="I332" s="14" t="n">
        <f aca="false">F332*H332</f>
        <v>219.32</v>
      </c>
      <c r="J332" s="14" t="n">
        <f aca="false">F332-I332</f>
        <v>328.98</v>
      </c>
    </row>
    <row r="333" customFormat="false" ht="15" hidden="false" customHeight="false" outlineLevel="0" collapsed="false">
      <c r="A333" s="6" t="s">
        <v>129</v>
      </c>
      <c r="B333" s="6" t="s">
        <v>112</v>
      </c>
      <c r="C333" s="6" t="s">
        <v>81</v>
      </c>
      <c r="D333" s="6" t="s">
        <v>124</v>
      </c>
      <c r="E333" s="12" t="n">
        <v>902059</v>
      </c>
      <c r="F333" s="13" t="n">
        <v>1984.53</v>
      </c>
      <c r="G333" s="5" t="str">
        <f aca="false">INDEX(Merchant_Map!$E$5:$E$24,MATCH(B333,Merchant_Map!$A$5:$A$24,0))</f>
        <v>Partner Alpha</v>
      </c>
      <c r="H333" s="11" t="n">
        <f aca="false">INDEX(Merchant_Map!$G$5:$G$24,MATCH(B333,Merchant_Map!$A$5:$A$24,0))</f>
        <v>0.4</v>
      </c>
      <c r="I333" s="14" t="n">
        <f aca="false">F333*H333</f>
        <v>793.812</v>
      </c>
      <c r="J333" s="14" t="n">
        <f aca="false">F333-I333</f>
        <v>1190.718</v>
      </c>
    </row>
    <row r="334" customFormat="false" ht="15" hidden="false" customHeight="false" outlineLevel="0" collapsed="false">
      <c r="A334" s="6" t="s">
        <v>129</v>
      </c>
      <c r="B334" s="6" t="s">
        <v>112</v>
      </c>
      <c r="C334" s="6" t="s">
        <v>75</v>
      </c>
      <c r="D334" s="6" t="s">
        <v>136</v>
      </c>
      <c r="E334" s="12" t="n">
        <v>0</v>
      </c>
      <c r="F334" s="13" t="n">
        <v>555.6</v>
      </c>
      <c r="G334" s="5" t="str">
        <f aca="false">INDEX(Merchant_Map!$E$5:$E$24,MATCH(B334,Merchant_Map!$A$5:$A$24,0))</f>
        <v>Partner Alpha</v>
      </c>
      <c r="H334" s="11" t="n">
        <f aca="false">INDEX(Merchant_Map!$G$5:$G$24,MATCH(B334,Merchant_Map!$A$5:$A$24,0))</f>
        <v>0.4</v>
      </c>
      <c r="I334" s="14" t="n">
        <f aca="false">F334*H334</f>
        <v>222.24</v>
      </c>
      <c r="J334" s="14" t="n">
        <f aca="false">F334-I334</f>
        <v>333.36</v>
      </c>
    </row>
    <row r="335" customFormat="false" ht="15" hidden="false" customHeight="false" outlineLevel="0" collapsed="false">
      <c r="A335" s="6" t="s">
        <v>130</v>
      </c>
      <c r="B335" s="6" t="s">
        <v>112</v>
      </c>
      <c r="C335" s="6" t="s">
        <v>81</v>
      </c>
      <c r="D335" s="6" t="s">
        <v>124</v>
      </c>
      <c r="E335" s="12" t="n">
        <v>961688</v>
      </c>
      <c r="F335" s="13" t="n">
        <v>2115.71</v>
      </c>
      <c r="G335" s="5" t="str">
        <f aca="false">INDEX(Merchant_Map!$E$5:$E$24,MATCH(B335,Merchant_Map!$A$5:$A$24,0))</f>
        <v>Partner Alpha</v>
      </c>
      <c r="H335" s="11" t="n">
        <f aca="false">INDEX(Merchant_Map!$G$5:$G$24,MATCH(B335,Merchant_Map!$A$5:$A$24,0))</f>
        <v>0.4</v>
      </c>
      <c r="I335" s="14" t="n">
        <f aca="false">F335*H335</f>
        <v>846.284</v>
      </c>
      <c r="J335" s="14" t="n">
        <f aca="false">F335-I335</f>
        <v>1269.426</v>
      </c>
    </row>
    <row r="336" customFormat="false" ht="15" hidden="false" customHeight="false" outlineLevel="0" collapsed="false">
      <c r="A336" s="6" t="s">
        <v>130</v>
      </c>
      <c r="B336" s="6" t="s">
        <v>112</v>
      </c>
      <c r="C336" s="6" t="s">
        <v>75</v>
      </c>
      <c r="D336" s="6" t="s">
        <v>136</v>
      </c>
      <c r="E336" s="12" t="n">
        <v>0</v>
      </c>
      <c r="F336" s="13" t="n">
        <v>590.7</v>
      </c>
      <c r="G336" s="5" t="str">
        <f aca="false">INDEX(Merchant_Map!$E$5:$E$24,MATCH(B336,Merchant_Map!$A$5:$A$24,0))</f>
        <v>Partner Alpha</v>
      </c>
      <c r="H336" s="11" t="n">
        <f aca="false">INDEX(Merchant_Map!$G$5:$G$24,MATCH(B336,Merchant_Map!$A$5:$A$24,0))</f>
        <v>0.4</v>
      </c>
      <c r="I336" s="14" t="n">
        <f aca="false">F336*H336</f>
        <v>236.28</v>
      </c>
      <c r="J336" s="14" t="n">
        <f aca="false">F336-I336</f>
        <v>354.42</v>
      </c>
    </row>
    <row r="337" customFormat="false" ht="15" hidden="false" customHeight="false" outlineLevel="0" collapsed="false">
      <c r="A337" s="6" t="s">
        <v>131</v>
      </c>
      <c r="B337" s="6" t="s">
        <v>112</v>
      </c>
      <c r="C337" s="6" t="s">
        <v>81</v>
      </c>
      <c r="D337" s="6" t="s">
        <v>124</v>
      </c>
      <c r="E337" s="12" t="n">
        <v>896220</v>
      </c>
      <c r="F337" s="13" t="n">
        <v>1971.68</v>
      </c>
      <c r="G337" s="5" t="str">
        <f aca="false">INDEX(Merchant_Map!$E$5:$E$24,MATCH(B337,Merchant_Map!$A$5:$A$24,0))</f>
        <v>Partner Alpha</v>
      </c>
      <c r="H337" s="11" t="n">
        <f aca="false">INDEX(Merchant_Map!$G$5:$G$24,MATCH(B337,Merchant_Map!$A$5:$A$24,0))</f>
        <v>0.4</v>
      </c>
      <c r="I337" s="14" t="n">
        <f aca="false">F337*H337</f>
        <v>788.672</v>
      </c>
      <c r="J337" s="14" t="n">
        <f aca="false">F337-I337</f>
        <v>1183.008</v>
      </c>
    </row>
    <row r="338" customFormat="false" ht="15" hidden="false" customHeight="false" outlineLevel="0" collapsed="false">
      <c r="A338" s="6" t="s">
        <v>131</v>
      </c>
      <c r="B338" s="6" t="s">
        <v>112</v>
      </c>
      <c r="C338" s="6" t="s">
        <v>75</v>
      </c>
      <c r="D338" s="6" t="s">
        <v>136</v>
      </c>
      <c r="E338" s="12" t="n">
        <v>0</v>
      </c>
      <c r="F338" s="13" t="n">
        <v>552.2</v>
      </c>
      <c r="G338" s="5" t="str">
        <f aca="false">INDEX(Merchant_Map!$E$5:$E$24,MATCH(B338,Merchant_Map!$A$5:$A$24,0))</f>
        <v>Partner Alpha</v>
      </c>
      <c r="H338" s="11" t="n">
        <f aca="false">INDEX(Merchant_Map!$G$5:$G$24,MATCH(B338,Merchant_Map!$A$5:$A$24,0))</f>
        <v>0.4</v>
      </c>
      <c r="I338" s="14" t="n">
        <f aca="false">F338*H338</f>
        <v>220.88</v>
      </c>
      <c r="J338" s="14" t="n">
        <f aca="false">F338-I338</f>
        <v>331.32</v>
      </c>
    </row>
    <row r="339" customFormat="false" ht="15" hidden="false" customHeight="false" outlineLevel="0" collapsed="false">
      <c r="A339" s="6" t="s">
        <v>132</v>
      </c>
      <c r="B339" s="6" t="s">
        <v>112</v>
      </c>
      <c r="C339" s="6" t="s">
        <v>81</v>
      </c>
      <c r="D339" s="6" t="s">
        <v>124</v>
      </c>
      <c r="E339" s="12" t="n">
        <v>951228</v>
      </c>
      <c r="F339" s="13" t="n">
        <v>2092.7</v>
      </c>
      <c r="G339" s="5" t="str">
        <f aca="false">INDEX(Merchant_Map!$E$5:$E$24,MATCH(B339,Merchant_Map!$A$5:$A$24,0))</f>
        <v>Partner Alpha</v>
      </c>
      <c r="H339" s="11" t="n">
        <f aca="false">INDEX(Merchant_Map!$G$5:$G$24,MATCH(B339,Merchant_Map!$A$5:$A$24,0))</f>
        <v>0.4</v>
      </c>
      <c r="I339" s="14" t="n">
        <f aca="false">F339*H339</f>
        <v>837.08</v>
      </c>
      <c r="J339" s="14" t="n">
        <f aca="false">F339-I339</f>
        <v>1255.62</v>
      </c>
    </row>
    <row r="340" customFormat="false" ht="15" hidden="false" customHeight="false" outlineLevel="0" collapsed="false">
      <c r="A340" s="6" t="s">
        <v>132</v>
      </c>
      <c r="B340" s="6" t="s">
        <v>112</v>
      </c>
      <c r="C340" s="6" t="s">
        <v>75</v>
      </c>
      <c r="D340" s="6" t="s">
        <v>136</v>
      </c>
      <c r="E340" s="12" t="n">
        <v>0</v>
      </c>
      <c r="F340" s="13" t="n">
        <v>584.55</v>
      </c>
      <c r="G340" s="5" t="str">
        <f aca="false">INDEX(Merchant_Map!$E$5:$E$24,MATCH(B340,Merchant_Map!$A$5:$A$24,0))</f>
        <v>Partner Alpha</v>
      </c>
      <c r="H340" s="11" t="n">
        <f aca="false">INDEX(Merchant_Map!$G$5:$G$24,MATCH(B340,Merchant_Map!$A$5:$A$24,0))</f>
        <v>0.4</v>
      </c>
      <c r="I340" s="14" t="n">
        <f aca="false">F340*H340</f>
        <v>233.82</v>
      </c>
      <c r="J340" s="14" t="n">
        <f aca="false">F340-I340</f>
        <v>350.73</v>
      </c>
    </row>
    <row r="341" customFormat="false" ht="15" hidden="false" customHeight="false" outlineLevel="0" collapsed="false">
      <c r="A341" s="6" t="s">
        <v>133</v>
      </c>
      <c r="B341" s="6" t="s">
        <v>112</v>
      </c>
      <c r="C341" s="6" t="s">
        <v>81</v>
      </c>
      <c r="D341" s="6" t="s">
        <v>124</v>
      </c>
      <c r="E341" s="12" t="n">
        <v>1025355</v>
      </c>
      <c r="F341" s="13" t="n">
        <v>2255.78</v>
      </c>
      <c r="G341" s="5" t="str">
        <f aca="false">INDEX(Merchant_Map!$E$5:$E$24,MATCH(B341,Merchant_Map!$A$5:$A$24,0))</f>
        <v>Partner Alpha</v>
      </c>
      <c r="H341" s="11" t="n">
        <f aca="false">INDEX(Merchant_Map!$G$5:$G$24,MATCH(B341,Merchant_Map!$A$5:$A$24,0))</f>
        <v>0.4</v>
      </c>
      <c r="I341" s="14" t="n">
        <f aca="false">F341*H341</f>
        <v>902.312</v>
      </c>
      <c r="J341" s="14" t="n">
        <f aca="false">F341-I341</f>
        <v>1353.468</v>
      </c>
    </row>
    <row r="342" customFormat="false" ht="15" hidden="false" customHeight="false" outlineLevel="0" collapsed="false">
      <c r="A342" s="6" t="s">
        <v>133</v>
      </c>
      <c r="B342" s="6" t="s">
        <v>112</v>
      </c>
      <c r="C342" s="6" t="s">
        <v>75</v>
      </c>
      <c r="D342" s="6" t="s">
        <v>136</v>
      </c>
      <c r="E342" s="12" t="n">
        <v>0</v>
      </c>
      <c r="F342" s="13" t="n">
        <v>628.15</v>
      </c>
      <c r="G342" s="5" t="str">
        <f aca="false">INDEX(Merchant_Map!$E$5:$E$24,MATCH(B342,Merchant_Map!$A$5:$A$24,0))</f>
        <v>Partner Alpha</v>
      </c>
      <c r="H342" s="11" t="n">
        <f aca="false">INDEX(Merchant_Map!$G$5:$G$24,MATCH(B342,Merchant_Map!$A$5:$A$24,0))</f>
        <v>0.4</v>
      </c>
      <c r="I342" s="14" t="n">
        <f aca="false">F342*H342</f>
        <v>251.26</v>
      </c>
      <c r="J342" s="14" t="n">
        <f aca="false">F342-I342</f>
        <v>376.89</v>
      </c>
    </row>
    <row r="343" customFormat="false" ht="15" hidden="false" customHeight="false" outlineLevel="0" collapsed="false">
      <c r="A343" s="6" t="s">
        <v>134</v>
      </c>
      <c r="B343" s="6" t="s">
        <v>112</v>
      </c>
      <c r="C343" s="6" t="s">
        <v>81</v>
      </c>
      <c r="D343" s="6" t="s">
        <v>124</v>
      </c>
      <c r="E343" s="12" t="n">
        <v>1037382</v>
      </c>
      <c r="F343" s="13" t="n">
        <v>2282.24</v>
      </c>
      <c r="G343" s="5" t="str">
        <f aca="false">INDEX(Merchant_Map!$E$5:$E$24,MATCH(B343,Merchant_Map!$A$5:$A$24,0))</f>
        <v>Partner Alpha</v>
      </c>
      <c r="H343" s="11" t="n">
        <f aca="false">INDEX(Merchant_Map!$G$5:$G$24,MATCH(B343,Merchant_Map!$A$5:$A$24,0))</f>
        <v>0.4</v>
      </c>
      <c r="I343" s="14" t="n">
        <f aca="false">F343*H343</f>
        <v>912.896</v>
      </c>
      <c r="J343" s="14" t="n">
        <f aca="false">F343-I343</f>
        <v>1369.344</v>
      </c>
    </row>
    <row r="344" customFormat="false" ht="15" hidden="false" customHeight="false" outlineLevel="0" collapsed="false">
      <c r="A344" s="6" t="s">
        <v>134</v>
      </c>
      <c r="B344" s="6" t="s">
        <v>112</v>
      </c>
      <c r="C344" s="6" t="s">
        <v>75</v>
      </c>
      <c r="D344" s="6" t="s">
        <v>136</v>
      </c>
      <c r="E344" s="12" t="n">
        <v>0</v>
      </c>
      <c r="F344" s="13" t="n">
        <v>635.2</v>
      </c>
      <c r="G344" s="5" t="str">
        <f aca="false">INDEX(Merchant_Map!$E$5:$E$24,MATCH(B344,Merchant_Map!$A$5:$A$24,0))</f>
        <v>Partner Alpha</v>
      </c>
      <c r="H344" s="11" t="n">
        <f aca="false">INDEX(Merchant_Map!$G$5:$G$24,MATCH(B344,Merchant_Map!$A$5:$A$24,0))</f>
        <v>0.4</v>
      </c>
      <c r="I344" s="14" t="n">
        <f aca="false">F344*H344</f>
        <v>254.08</v>
      </c>
      <c r="J344" s="14" t="n">
        <f aca="false">F344-I344</f>
        <v>381.12</v>
      </c>
    </row>
    <row r="345" customFormat="false" ht="15" hidden="false" customHeight="false" outlineLevel="0" collapsed="false">
      <c r="A345" s="6" t="s">
        <v>135</v>
      </c>
      <c r="B345" s="6" t="s">
        <v>112</v>
      </c>
      <c r="C345" s="6" t="s">
        <v>81</v>
      </c>
      <c r="D345" s="6" t="s">
        <v>124</v>
      </c>
      <c r="E345" s="12" t="n">
        <v>940104</v>
      </c>
      <c r="F345" s="13" t="n">
        <v>2068.23</v>
      </c>
      <c r="G345" s="5" t="str">
        <f aca="false">INDEX(Merchant_Map!$E$5:$E$24,MATCH(B345,Merchant_Map!$A$5:$A$24,0))</f>
        <v>Partner Alpha</v>
      </c>
      <c r="H345" s="11" t="n">
        <f aca="false">INDEX(Merchant_Map!$G$5:$G$24,MATCH(B345,Merchant_Map!$A$5:$A$24,0))</f>
        <v>0.4</v>
      </c>
      <c r="I345" s="14" t="n">
        <f aca="false">F345*H345</f>
        <v>827.292</v>
      </c>
      <c r="J345" s="14" t="n">
        <f aca="false">F345-I345</f>
        <v>1240.938</v>
      </c>
    </row>
    <row r="346" customFormat="false" ht="15" hidden="false" customHeight="false" outlineLevel="0" collapsed="false">
      <c r="A346" s="6" t="s">
        <v>135</v>
      </c>
      <c r="B346" s="6" t="s">
        <v>112</v>
      </c>
      <c r="C346" s="6" t="s">
        <v>75</v>
      </c>
      <c r="D346" s="6" t="s">
        <v>136</v>
      </c>
      <c r="E346" s="12" t="n">
        <v>0</v>
      </c>
      <c r="F346" s="13" t="n">
        <v>578</v>
      </c>
      <c r="G346" s="5" t="str">
        <f aca="false">INDEX(Merchant_Map!$E$5:$E$24,MATCH(B346,Merchant_Map!$A$5:$A$24,0))</f>
        <v>Partner Alpha</v>
      </c>
      <c r="H346" s="11" t="n">
        <f aca="false">INDEX(Merchant_Map!$G$5:$G$24,MATCH(B346,Merchant_Map!$A$5:$A$24,0))</f>
        <v>0.4</v>
      </c>
      <c r="I346" s="14" t="n">
        <f aca="false">F346*H346</f>
        <v>231.2</v>
      </c>
      <c r="J346" s="14" t="n">
        <f aca="false">F346-I346</f>
        <v>346.8</v>
      </c>
    </row>
  </sheetData>
  <autoFilter ref="A4:J3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3" min="12" style="0" width="14"/>
    <col collapsed="false" customWidth="true" hidden="false" outlineLevel="0" max="14" min="14" style="0" width="10"/>
    <col collapsed="false" customWidth="true" hidden="false" outlineLevel="0" max="15" min="15" style="0" width="22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138</v>
      </c>
      <c r="B3" s="15" t="s">
        <v>135</v>
      </c>
      <c r="D3" s="2" t="s">
        <v>139</v>
      </c>
    </row>
    <row r="4" customFormat="false" ht="15" hidden="false" customHeight="false" outlineLevel="0" collapsed="false">
      <c r="A4" s="3" t="s">
        <v>140</v>
      </c>
      <c r="B4" s="15" t="s">
        <v>134</v>
      </c>
    </row>
    <row r="7" customFormat="false" ht="30" hidden="false" customHeight="true" outlineLevel="0" collapsed="false">
      <c r="A7" s="9" t="s">
        <v>61</v>
      </c>
      <c r="B7" s="9" t="s">
        <v>62</v>
      </c>
      <c r="C7" s="9" t="s">
        <v>63</v>
      </c>
      <c r="D7" s="9" t="s">
        <v>45</v>
      </c>
      <c r="E7" s="9" t="s">
        <v>119</v>
      </c>
      <c r="F7" s="9" t="s">
        <v>141</v>
      </c>
      <c r="G7" s="9" t="s">
        <v>142</v>
      </c>
      <c r="H7" s="9" t="s">
        <v>143</v>
      </c>
      <c r="I7" s="9" t="s">
        <v>66</v>
      </c>
      <c r="J7" s="9" t="s">
        <v>121</v>
      </c>
      <c r="K7" s="9" t="s">
        <v>144</v>
      </c>
      <c r="L7" s="9" t="s">
        <v>145</v>
      </c>
      <c r="M7" s="9" t="s">
        <v>146</v>
      </c>
      <c r="N7" s="9" t="s">
        <v>147</v>
      </c>
      <c r="O7" s="9" t="s">
        <v>148</v>
      </c>
    </row>
    <row r="8" customFormat="false" ht="15" hidden="false" customHeight="false" outlineLevel="0" collapsed="false">
      <c r="A8" s="7" t="str">
        <f aca="false">Merchant_Map!A5</f>
        <v>M-001</v>
      </c>
      <c r="B8" s="7" t="str">
        <f aca="false">Merchant_Map!B5</f>
        <v>Merchant 001 (DBA)</v>
      </c>
      <c r="C8" s="7" t="str">
        <f aca="false">Merchant_Map!C5</f>
        <v>Processor A</v>
      </c>
      <c r="D8" s="7" t="str">
        <f aca="false">Merchant_Map!E5</f>
        <v>Partner Alpha</v>
      </c>
      <c r="E8" s="16" t="n">
        <f aca="false">SUMIFS(Residual_Data!$E$5:$E$346,Residual_Data!$A$5:$A$346,$B$3,Residual_Data!$B$5:$B$346,A8)</f>
        <v>471823</v>
      </c>
      <c r="F8" s="14" t="n">
        <f aca="false">SUMIFS(Residual_Data!$F$5:$F$346,Residual_Data!$A$5:$A$346,$B$3,Residual_Data!$B$5:$B$346,A8,Residual_Data!$D$5:$D$346,"Processing Residual")</f>
        <v>1038.01</v>
      </c>
      <c r="G8" s="14" t="n">
        <f aca="false">SUMIFS(Residual_Data!$F$5:$F$346,Residual_Data!$A$5:$A$346,$B$3,Residual_Data!$B$5:$B$346,A8,Residual_Data!$D$5:$D$346,"Gateway Fee")</f>
        <v>0</v>
      </c>
      <c r="H8" s="14" t="n">
        <f aca="false">F8+G8</f>
        <v>1038.01</v>
      </c>
      <c r="I8" s="17" t="n">
        <f aca="false">Merchant_Map!G5</f>
        <v>0.4</v>
      </c>
      <c r="J8" s="14" t="n">
        <f aca="false">H8*I8</f>
        <v>415.204</v>
      </c>
      <c r="K8" s="14" t="n">
        <f aca="false">J8*Merchant_Map!H5</f>
        <v>0</v>
      </c>
      <c r="L8" s="14" t="n">
        <f aca="false">H8-J8</f>
        <v>622.806</v>
      </c>
      <c r="M8" s="14" t="n">
        <f aca="false">SUMIFS(Residual_Data!$F$5:$F$346,Residual_Data!$A$5:$A$346,$B$4,Residual_Data!$B$5:$B$346,A8)</f>
        <v>1051.29</v>
      </c>
      <c r="N8" s="11" t="n">
        <f aca="false">IF(M8=0,"",H8/M8-1)</f>
        <v>-0.0126320996109541</v>
      </c>
      <c r="O8" s="5" t="str">
        <f aca="false">IF(AND(E8&gt;0,F8=0),"VOLUME, NO RESIDUAL",IF(AND(M8&gt;0,H8=0),"ZERO REVENUE",IF(AND(M8&gt;0,ABS(N8)&gt;0.25),"MoM &gt;25%","")))</f>
        <v/>
      </c>
    </row>
    <row r="9" customFormat="false" ht="15" hidden="false" customHeight="false" outlineLevel="0" collapsed="false">
      <c r="A9" s="7" t="str">
        <f aca="false">Merchant_Map!A6</f>
        <v>M-002</v>
      </c>
      <c r="B9" s="7" t="str">
        <f aca="false">Merchant_Map!B6</f>
        <v>Merchant 002 (DBA)</v>
      </c>
      <c r="C9" s="7" t="str">
        <f aca="false">Merchant_Map!C6</f>
        <v>Processor B</v>
      </c>
      <c r="D9" s="7" t="str">
        <f aca="false">Merchant_Map!E6</f>
        <v>Partner Beta</v>
      </c>
      <c r="E9" s="16" t="n">
        <f aca="false">SUMIFS(Residual_Data!$E$5:$E$346,Residual_Data!$A$5:$A$346,$B$3,Residual_Data!$B$5:$B$346,A9)</f>
        <v>833436</v>
      </c>
      <c r="F9" s="14" t="n">
        <f aca="false">SUMIFS(Residual_Data!$F$5:$F$346,Residual_Data!$A$5:$A$346,$B$3,Residual_Data!$B$5:$B$346,A9,Residual_Data!$D$5:$D$346,"Processing Residual")</f>
        <v>2333.62</v>
      </c>
      <c r="G9" s="14" t="n">
        <f aca="false">SUMIFS(Residual_Data!$F$5:$F$346,Residual_Data!$A$5:$A$346,$B$3,Residual_Data!$B$5:$B$346,A9,Residual_Data!$D$5:$D$346,"Gateway Fee")</f>
        <v>515.25</v>
      </c>
      <c r="H9" s="14" t="n">
        <f aca="false">F9+G9</f>
        <v>2848.87</v>
      </c>
      <c r="I9" s="17" t="n">
        <f aca="false">Merchant_Map!G6</f>
        <v>0.35</v>
      </c>
      <c r="J9" s="14" t="n">
        <f aca="false">H9*I9</f>
        <v>997.1045</v>
      </c>
      <c r="K9" s="14" t="n">
        <f aca="false">J9*Merchant_Map!H6</f>
        <v>249.276125</v>
      </c>
      <c r="L9" s="14" t="n">
        <f aca="false">H9-J9</f>
        <v>1851.7655</v>
      </c>
      <c r="M9" s="14" t="n">
        <f aca="false">SUMIFS(Residual_Data!$F$5:$F$346,Residual_Data!$A$5:$A$346,$B$4,Residual_Data!$B$5:$B$346,A9)</f>
        <v>2907.58</v>
      </c>
      <c r="N9" s="11" t="n">
        <f aca="false">IF(M9=0,"",H9/M9-1)</f>
        <v>-0.0201920497458368</v>
      </c>
      <c r="O9" s="5" t="str">
        <f aca="false">IF(AND(E9&gt;0,F9=0),"VOLUME, NO RESIDUAL",IF(AND(M9&gt;0,H9=0),"ZERO REVENUE",IF(AND(M9&gt;0,ABS(N9)&gt;0.25),"MoM &gt;25%","")))</f>
        <v/>
      </c>
    </row>
    <row r="10" customFormat="false" ht="15" hidden="false" customHeight="false" outlineLevel="0" collapsed="false">
      <c r="A10" s="7" t="str">
        <f aca="false">Merchant_Map!A7</f>
        <v>M-003</v>
      </c>
      <c r="B10" s="7" t="str">
        <f aca="false">Merchant_Map!B7</f>
        <v>Merchant 003 (DBA)</v>
      </c>
      <c r="C10" s="7" t="str">
        <f aca="false">Merchant_Map!C7</f>
        <v>Processor C</v>
      </c>
      <c r="D10" s="7" t="str">
        <f aca="false">Merchant_Map!E7</f>
        <v>House (Direct)</v>
      </c>
      <c r="E10" s="16" t="n">
        <f aca="false">SUMIFS(Residual_Data!$E$5:$E$346,Residual_Data!$A$5:$A$346,$B$3,Residual_Data!$B$5:$B$346,A10)</f>
        <v>738517</v>
      </c>
      <c r="F10" s="14" t="n">
        <f aca="false">SUMIFS(Residual_Data!$F$5:$F$346,Residual_Data!$A$5:$A$346,$B$3,Residual_Data!$B$5:$B$346,A10,Residual_Data!$D$5:$D$346,"Processing Residual")</f>
        <v>2067.85</v>
      </c>
      <c r="G10" s="14" t="n">
        <f aca="false">SUMIFS(Residual_Data!$F$5:$F$346,Residual_Data!$A$5:$A$346,$B$3,Residual_Data!$B$5:$B$346,A10,Residual_Data!$D$5:$D$346,"Gateway Fee")</f>
        <v>0</v>
      </c>
      <c r="H10" s="14" t="n">
        <f aca="false">F10+G10</f>
        <v>2067.85</v>
      </c>
      <c r="I10" s="17" t="n">
        <f aca="false">Merchant_Map!G7</f>
        <v>0</v>
      </c>
      <c r="J10" s="14" t="n">
        <f aca="false">H10*I10</f>
        <v>0</v>
      </c>
      <c r="K10" s="14" t="n">
        <f aca="false">J10*Merchant_Map!H7</f>
        <v>0</v>
      </c>
      <c r="L10" s="14" t="n">
        <f aca="false">H10-J10</f>
        <v>2067.85</v>
      </c>
      <c r="M10" s="14" t="n">
        <f aca="false">SUMIFS(Residual_Data!$F$5:$F$346,Residual_Data!$A$5:$A$346,$B$4,Residual_Data!$B$5:$B$346,A10)</f>
        <v>2127.62</v>
      </c>
      <c r="N10" s="11" t="n">
        <f aca="false">IF(M10=0,"",H10/M10-1)</f>
        <v>-0.0280924225190589</v>
      </c>
      <c r="O10" s="5" t="str">
        <f aca="false">IF(AND(E10&gt;0,F10=0),"VOLUME, NO RESIDUAL",IF(AND(M10&gt;0,H10=0),"ZERO REVENUE",IF(AND(M10&gt;0,ABS(N10)&gt;0.25),"MoM &gt;25%","")))</f>
        <v/>
      </c>
    </row>
    <row r="11" customFormat="false" ht="15" hidden="false" customHeight="false" outlineLevel="0" collapsed="false">
      <c r="A11" s="7" t="str">
        <f aca="false">Merchant_Map!A8</f>
        <v>M-004</v>
      </c>
      <c r="B11" s="7" t="str">
        <f aca="false">Merchant_Map!B8</f>
        <v>Merchant 004 (DBA)</v>
      </c>
      <c r="C11" s="7" t="str">
        <f aca="false">Merchant_Map!C8</f>
        <v>Processor D</v>
      </c>
      <c r="D11" s="7" t="str">
        <f aca="false">Merchant_Map!E8</f>
        <v>Partner Delta</v>
      </c>
      <c r="E11" s="16" t="n">
        <f aca="false">SUMIFS(Residual_Data!$E$5:$E$346,Residual_Data!$A$5:$A$346,$B$3,Residual_Data!$B$5:$B$346,A11)</f>
        <v>433679</v>
      </c>
      <c r="F11" s="14" t="n">
        <f aca="false">SUMIFS(Residual_Data!$F$5:$F$346,Residual_Data!$A$5:$A$346,$B$3,Residual_Data!$B$5:$B$346,A11,Residual_Data!$D$5:$D$346,"Processing Residual")</f>
        <v>2081.66</v>
      </c>
      <c r="G11" s="14" t="n">
        <f aca="false">SUMIFS(Residual_Data!$F$5:$F$346,Residual_Data!$A$5:$A$346,$B$3,Residual_Data!$B$5:$B$346,A11,Residual_Data!$D$5:$D$346,"Gateway Fee")</f>
        <v>280.1</v>
      </c>
      <c r="H11" s="14" t="n">
        <f aca="false">F11+G11</f>
        <v>2361.76</v>
      </c>
      <c r="I11" s="17" t="n">
        <f aca="false">Merchant_Map!G8</f>
        <v>0.5</v>
      </c>
      <c r="J11" s="14" t="n">
        <f aca="false">H11*I11</f>
        <v>1180.88</v>
      </c>
      <c r="K11" s="14" t="n">
        <f aca="false">J11*Merchant_Map!H8</f>
        <v>0</v>
      </c>
      <c r="L11" s="14" t="n">
        <f aca="false">H11-J11</f>
        <v>1180.88</v>
      </c>
      <c r="M11" s="14" t="n">
        <f aca="false">SUMIFS(Residual_Data!$F$5:$F$346,Residual_Data!$A$5:$A$346,$B$4,Residual_Data!$B$5:$B$346,A11)</f>
        <v>2493.22</v>
      </c>
      <c r="N11" s="11" t="n">
        <f aca="false">IF(M11=0,"",H11/M11-1)</f>
        <v>-0.0527269956121</v>
      </c>
      <c r="O11" s="5" t="str">
        <f aca="false">IF(AND(E11&gt;0,F11=0),"VOLUME, NO RESIDUAL",IF(AND(M11&gt;0,H11=0),"ZERO REVENUE",IF(AND(M11&gt;0,ABS(N11)&gt;0.25),"MoM &gt;25%","")))</f>
        <v/>
      </c>
    </row>
    <row r="12" customFormat="false" ht="15" hidden="false" customHeight="false" outlineLevel="0" collapsed="false">
      <c r="A12" s="7" t="str">
        <f aca="false">Merchant_Map!A9</f>
        <v>M-005</v>
      </c>
      <c r="B12" s="7" t="str">
        <f aca="false">Merchant_Map!B9</f>
        <v>Merchant 005 (DBA)</v>
      </c>
      <c r="C12" s="7" t="str">
        <f aca="false">Merchant_Map!C9</f>
        <v>Processor A</v>
      </c>
      <c r="D12" s="7" t="str">
        <f aca="false">Merchant_Map!E9</f>
        <v>Partner Alpha</v>
      </c>
      <c r="E12" s="16" t="n">
        <f aca="false">SUMIFS(Residual_Data!$E$5:$E$346,Residual_Data!$A$5:$A$346,$B$3,Residual_Data!$B$5:$B$346,A12)</f>
        <v>0</v>
      </c>
      <c r="F12" s="14" t="n">
        <f aca="false">SUMIFS(Residual_Data!$F$5:$F$346,Residual_Data!$A$5:$A$346,$B$3,Residual_Data!$B$5:$B$346,A12,Residual_Data!$D$5:$D$346,"Processing Residual")</f>
        <v>0</v>
      </c>
      <c r="G12" s="14" t="n">
        <f aca="false">SUMIFS(Residual_Data!$F$5:$F$346,Residual_Data!$A$5:$A$346,$B$3,Residual_Data!$B$5:$B$346,A12,Residual_Data!$D$5:$D$346,"Gateway Fee")</f>
        <v>0</v>
      </c>
      <c r="H12" s="14" t="n">
        <f aca="false">F12+G12</f>
        <v>0</v>
      </c>
      <c r="I12" s="17" t="n">
        <f aca="false">Merchant_Map!G9</f>
        <v>0.4</v>
      </c>
      <c r="J12" s="14" t="n">
        <f aca="false">H12*I12</f>
        <v>0</v>
      </c>
      <c r="K12" s="14" t="n">
        <f aca="false">J12*Merchant_Map!H9</f>
        <v>0</v>
      </c>
      <c r="L12" s="14" t="n">
        <f aca="false">H12-J12</f>
        <v>0</v>
      </c>
      <c r="M12" s="14" t="n">
        <f aca="false">SUMIFS(Residual_Data!$F$5:$F$346,Residual_Data!$A$5:$A$346,$B$4,Residual_Data!$B$5:$B$346,A12)</f>
        <v>3173.64</v>
      </c>
      <c r="N12" s="11" t="n">
        <f aca="false">IF(M12=0,"",H12/M12-1)</f>
        <v>-1</v>
      </c>
      <c r="O12" s="5" t="str">
        <f aca="false">IF(AND(E12&gt;0,F12=0),"VOLUME, NO RESIDUAL",IF(AND(M12&gt;0,H12=0),"ZERO REVENUE",IF(AND(M12&gt;0,ABS(N12)&gt;0.25),"MoM &gt;25%","")))</f>
        <v>ZERO REVENUE</v>
      </c>
    </row>
    <row r="13" customFormat="false" ht="15" hidden="false" customHeight="false" outlineLevel="0" collapsed="false">
      <c r="A13" s="7" t="str">
        <f aca="false">Merchant_Map!A10</f>
        <v>M-006</v>
      </c>
      <c r="B13" s="7" t="str">
        <f aca="false">Merchant_Map!B10</f>
        <v>Merchant 006 (DBA)</v>
      </c>
      <c r="C13" s="7" t="str">
        <f aca="false">Merchant_Map!C10</f>
        <v>Processor B</v>
      </c>
      <c r="D13" s="7" t="str">
        <f aca="false">Merchant_Map!E10</f>
        <v>Partner Alpha</v>
      </c>
      <c r="E13" s="16" t="n">
        <f aca="false">SUMIFS(Residual_Data!$E$5:$E$346,Residual_Data!$A$5:$A$346,$B$3,Residual_Data!$B$5:$B$346,A13)</f>
        <v>1589288</v>
      </c>
      <c r="F13" s="14" t="n">
        <f aca="false">SUMIFS(Residual_Data!$F$5:$F$346,Residual_Data!$A$5:$A$346,$B$3,Residual_Data!$B$5:$B$346,A13,Residual_Data!$D$5:$D$346,"Processing Residual")</f>
        <v>5721.44</v>
      </c>
      <c r="G13" s="14" t="n">
        <f aca="false">SUMIFS(Residual_Data!$F$5:$F$346,Residual_Data!$A$5:$A$346,$B$3,Residual_Data!$B$5:$B$346,A13,Residual_Data!$D$5:$D$346,"Gateway Fee")</f>
        <v>959.9</v>
      </c>
      <c r="H13" s="14" t="n">
        <f aca="false">F13+G13</f>
        <v>6681.34</v>
      </c>
      <c r="I13" s="17" t="n">
        <f aca="false">Merchant_Map!G10</f>
        <v>0.4</v>
      </c>
      <c r="J13" s="14" t="n">
        <f aca="false">H13*I13</f>
        <v>2672.536</v>
      </c>
      <c r="K13" s="14" t="n">
        <f aca="false">J13*Merchant_Map!H10</f>
        <v>0</v>
      </c>
      <c r="L13" s="14" t="n">
        <f aca="false">H13-J13</f>
        <v>4008.804</v>
      </c>
      <c r="M13" s="14" t="n">
        <f aca="false">SUMIFS(Residual_Data!$F$5:$F$346,Residual_Data!$A$5:$A$346,$B$4,Residual_Data!$B$5:$B$346,A13)</f>
        <v>6969.72</v>
      </c>
      <c r="N13" s="11" t="n">
        <f aca="false">IF(M13=0,"",H13/M13-1)</f>
        <v>-0.0413761241484594</v>
      </c>
      <c r="O13" s="5" t="str">
        <f aca="false">IF(AND(E13&gt;0,F13=0),"VOLUME, NO RESIDUAL",IF(AND(M13&gt;0,H13=0),"ZERO REVENUE",IF(AND(M13&gt;0,ABS(N13)&gt;0.25),"MoM &gt;25%","")))</f>
        <v/>
      </c>
    </row>
    <row r="14" customFormat="false" ht="15" hidden="false" customHeight="false" outlineLevel="0" collapsed="false">
      <c r="A14" s="7" t="str">
        <f aca="false">Merchant_Map!A11</f>
        <v>M-007</v>
      </c>
      <c r="B14" s="7" t="str">
        <f aca="false">Merchant_Map!B11</f>
        <v>Merchant 007 (DBA)</v>
      </c>
      <c r="C14" s="7" t="str">
        <f aca="false">Merchant_Map!C11</f>
        <v>Processor C</v>
      </c>
      <c r="D14" s="7" t="str">
        <f aca="false">Merchant_Map!E11</f>
        <v>Partner Beta</v>
      </c>
      <c r="E14" s="16" t="n">
        <f aca="false">SUMIFS(Residual_Data!$E$5:$E$346,Residual_Data!$A$5:$A$346,$B$3,Residual_Data!$B$5:$B$346,A14)</f>
        <v>294565</v>
      </c>
      <c r="F14" s="14" t="n">
        <f aca="false">SUMIFS(Residual_Data!$F$5:$F$346,Residual_Data!$A$5:$A$346,$B$3,Residual_Data!$B$5:$B$346,A14,Residual_Data!$D$5:$D$346,"Processing Residual")</f>
        <v>648.04</v>
      </c>
      <c r="G14" s="14" t="n">
        <f aca="false">SUMIFS(Residual_Data!$F$5:$F$346,Residual_Data!$A$5:$A$346,$B$3,Residual_Data!$B$5:$B$346,A14,Residual_Data!$D$5:$D$346,"Gateway Fee")</f>
        <v>0</v>
      </c>
      <c r="H14" s="14" t="n">
        <f aca="false">F14+G14</f>
        <v>648.04</v>
      </c>
      <c r="I14" s="17" t="n">
        <f aca="false">Merchant_Map!G11</f>
        <v>0.45</v>
      </c>
      <c r="J14" s="14" t="n">
        <f aca="false">H14*I14</f>
        <v>291.618</v>
      </c>
      <c r="K14" s="14" t="n">
        <f aca="false">J14*Merchant_Map!H11</f>
        <v>72.9045</v>
      </c>
      <c r="L14" s="14" t="n">
        <f aca="false">H14-J14</f>
        <v>356.422</v>
      </c>
      <c r="M14" s="14" t="n">
        <f aca="false">SUMIFS(Residual_Data!$F$5:$F$346,Residual_Data!$A$5:$A$346,$B$4,Residual_Data!$B$5:$B$346,A14)</f>
        <v>603.92</v>
      </c>
      <c r="N14" s="11" t="n">
        <f aca="false">IF(M14=0,"",H14/M14-1)</f>
        <v>0.0730560339117765</v>
      </c>
      <c r="O14" s="5" t="str">
        <f aca="false">IF(AND(E14&gt;0,F14=0),"VOLUME, NO RESIDUAL",IF(AND(M14&gt;0,H14=0),"ZERO REVENUE",IF(AND(M14&gt;0,ABS(N14)&gt;0.25),"MoM &gt;25%","")))</f>
        <v/>
      </c>
    </row>
    <row r="15" customFormat="false" ht="15" hidden="false" customHeight="false" outlineLevel="0" collapsed="false">
      <c r="A15" s="7" t="str">
        <f aca="false">Merchant_Map!A12</f>
        <v>M-008</v>
      </c>
      <c r="B15" s="7" t="str">
        <f aca="false">Merchant_Map!B12</f>
        <v>Merchant 008 (DBA)</v>
      </c>
      <c r="C15" s="7" t="str">
        <f aca="false">Merchant_Map!C12</f>
        <v>Processor D</v>
      </c>
      <c r="D15" s="7" t="str">
        <f aca="false">Merchant_Map!E12</f>
        <v>House (Direct)</v>
      </c>
      <c r="E15" s="16" t="n">
        <f aca="false">SUMIFS(Residual_Data!$E$5:$E$346,Residual_Data!$A$5:$A$346,$B$3,Residual_Data!$B$5:$B$346,A15)</f>
        <v>425018</v>
      </c>
      <c r="F15" s="14" t="n">
        <f aca="false">SUMIFS(Residual_Data!$F$5:$F$346,Residual_Data!$A$5:$A$346,$B$3,Residual_Data!$B$5:$B$346,A15,Residual_Data!$D$5:$D$346,"Processing Residual")</f>
        <v>1190.05</v>
      </c>
      <c r="G15" s="14" t="n">
        <f aca="false">SUMIFS(Residual_Data!$F$5:$F$346,Residual_Data!$A$5:$A$346,$B$3,Residual_Data!$B$5:$B$346,A15,Residual_Data!$D$5:$D$346,"Gateway Fee")</f>
        <v>275</v>
      </c>
      <c r="H15" s="14" t="n">
        <f aca="false">F15+G15</f>
        <v>1465.05</v>
      </c>
      <c r="I15" s="17" t="n">
        <f aca="false">Merchant_Map!G12</f>
        <v>0</v>
      </c>
      <c r="J15" s="14" t="n">
        <f aca="false">H15*I15</f>
        <v>0</v>
      </c>
      <c r="K15" s="14" t="n">
        <f aca="false">J15*Merchant_Map!H12</f>
        <v>0</v>
      </c>
      <c r="L15" s="14" t="n">
        <f aca="false">H15-J15</f>
        <v>1465.05</v>
      </c>
      <c r="M15" s="14" t="n">
        <f aca="false">SUMIFS(Residual_Data!$F$5:$F$346,Residual_Data!$A$5:$A$346,$B$4,Residual_Data!$B$5:$B$346,A15)</f>
        <v>1485.93</v>
      </c>
      <c r="N15" s="11" t="n">
        <f aca="false">IF(M15=0,"",H15/M15-1)</f>
        <v>-0.0140518059397144</v>
      </c>
      <c r="O15" s="5" t="str">
        <f aca="false">IF(AND(E15&gt;0,F15=0),"VOLUME, NO RESIDUAL",IF(AND(M15&gt;0,H15=0),"ZERO REVENUE",IF(AND(M15&gt;0,ABS(N15)&gt;0.25),"MoM &gt;25%","")))</f>
        <v/>
      </c>
    </row>
    <row r="16" customFormat="false" ht="15" hidden="false" customHeight="false" outlineLevel="0" collapsed="false">
      <c r="A16" s="7" t="str">
        <f aca="false">Merchant_Map!A13</f>
        <v>M-009</v>
      </c>
      <c r="B16" s="7" t="str">
        <f aca="false">Merchant_Map!B13</f>
        <v>Merchant 009 (DBA)</v>
      </c>
      <c r="C16" s="7" t="str">
        <f aca="false">Merchant_Map!C13</f>
        <v>Processor A</v>
      </c>
      <c r="D16" s="7" t="str">
        <f aca="false">Merchant_Map!E13</f>
        <v>Partner Delta</v>
      </c>
      <c r="E16" s="16" t="n">
        <f aca="false">SUMIFS(Residual_Data!$E$5:$E$346,Residual_Data!$A$5:$A$346,$B$3,Residual_Data!$B$5:$B$346,A16)</f>
        <v>788096</v>
      </c>
      <c r="F16" s="14" t="n">
        <f aca="false">SUMIFS(Residual_Data!$F$5:$F$346,Residual_Data!$A$5:$A$346,$B$3,Residual_Data!$B$5:$B$346,A16,Residual_Data!$D$5:$D$346,"Processing Residual")</f>
        <v>3231.19</v>
      </c>
      <c r="G16" s="14" t="n">
        <f aca="false">SUMIFS(Residual_Data!$F$5:$F$346,Residual_Data!$A$5:$A$346,$B$3,Residual_Data!$B$5:$B$346,A16,Residual_Data!$D$5:$D$346,"Gateway Fee")</f>
        <v>0</v>
      </c>
      <c r="H16" s="14" t="n">
        <f aca="false">F16+G16</f>
        <v>3231.19</v>
      </c>
      <c r="I16" s="17" t="n">
        <f aca="false">Merchant_Map!G13</f>
        <v>0.5</v>
      </c>
      <c r="J16" s="14" t="n">
        <f aca="false">H16*I16</f>
        <v>1615.595</v>
      </c>
      <c r="K16" s="14" t="n">
        <f aca="false">J16*Merchant_Map!H13</f>
        <v>0</v>
      </c>
      <c r="L16" s="14" t="n">
        <f aca="false">H16-J16</f>
        <v>1615.595</v>
      </c>
      <c r="M16" s="14" t="n">
        <f aca="false">SUMIFS(Residual_Data!$F$5:$F$346,Residual_Data!$A$5:$A$346,$B$4,Residual_Data!$B$5:$B$346,A16)</f>
        <v>3167.81</v>
      </c>
      <c r="N16" s="11" t="n">
        <f aca="false">IF(M16=0,"",H16/M16-1)</f>
        <v>0.0200075130768576</v>
      </c>
      <c r="O16" s="5" t="str">
        <f aca="false">IF(AND(E16&gt;0,F16=0),"VOLUME, NO RESIDUAL",IF(AND(M16&gt;0,H16=0),"ZERO REVENUE",IF(AND(M16&gt;0,ABS(N16)&gt;0.25),"MoM &gt;25%","")))</f>
        <v/>
      </c>
    </row>
    <row r="17" customFormat="false" ht="15" hidden="false" customHeight="false" outlineLevel="0" collapsed="false">
      <c r="A17" s="7" t="str">
        <f aca="false">Merchant_Map!A14</f>
        <v>M-010</v>
      </c>
      <c r="B17" s="7" t="str">
        <f aca="false">Merchant_Map!B14</f>
        <v>Merchant 010 (DBA)</v>
      </c>
      <c r="C17" s="7" t="str">
        <f aca="false">Merchant_Map!C14</f>
        <v>Processor B</v>
      </c>
      <c r="D17" s="7" t="str">
        <f aca="false">Merchant_Map!E14</f>
        <v>Partner Alpha</v>
      </c>
      <c r="E17" s="16" t="n">
        <f aca="false">SUMIFS(Residual_Data!$E$5:$E$346,Residual_Data!$A$5:$A$346,$B$3,Residual_Data!$B$5:$B$346,A17)</f>
        <v>257582</v>
      </c>
      <c r="F17" s="14" t="n">
        <f aca="false">SUMIFS(Residual_Data!$F$5:$F$346,Residual_Data!$A$5:$A$346,$B$3,Residual_Data!$B$5:$B$346,A17,Residual_Data!$D$5:$D$346,"Processing Residual")</f>
        <v>1056.09</v>
      </c>
      <c r="G17" s="14" t="n">
        <f aca="false">SUMIFS(Residual_Data!$F$5:$F$346,Residual_Data!$A$5:$A$346,$B$3,Residual_Data!$B$5:$B$346,A17,Residual_Data!$D$5:$D$346,"Gateway Fee")</f>
        <v>176.5</v>
      </c>
      <c r="H17" s="14" t="n">
        <f aca="false">F17+G17</f>
        <v>1232.59</v>
      </c>
      <c r="I17" s="17" t="n">
        <f aca="false">Merchant_Map!G14</f>
        <v>0.4</v>
      </c>
      <c r="J17" s="14" t="n">
        <f aca="false">H17*I17</f>
        <v>493.036</v>
      </c>
      <c r="K17" s="14" t="n">
        <f aca="false">J17*Merchant_Map!H14</f>
        <v>0</v>
      </c>
      <c r="L17" s="14" t="n">
        <f aca="false">H17-J17</f>
        <v>739.554</v>
      </c>
      <c r="M17" s="14" t="n">
        <f aca="false">SUMIFS(Residual_Data!$F$5:$F$346,Residual_Data!$A$5:$A$346,$B$4,Residual_Data!$B$5:$B$346,A17)</f>
        <v>1249.63</v>
      </c>
      <c r="N17" s="11" t="n">
        <f aca="false">IF(M17=0,"",H17/M17-1)</f>
        <v>-0.0136360362667352</v>
      </c>
      <c r="O17" s="5" t="str">
        <f aca="false">IF(AND(E17&gt;0,F17=0),"VOLUME, NO RESIDUAL",IF(AND(M17&gt;0,H17=0),"ZERO REVENUE",IF(AND(M17&gt;0,ABS(N17)&gt;0.25),"MoM &gt;25%","")))</f>
        <v/>
      </c>
    </row>
    <row r="18" customFormat="false" ht="15" hidden="false" customHeight="false" outlineLevel="0" collapsed="false">
      <c r="A18" s="7" t="str">
        <f aca="false">Merchant_Map!A15</f>
        <v>M-011</v>
      </c>
      <c r="B18" s="7" t="str">
        <f aca="false">Merchant_Map!B15</f>
        <v>Merchant 011 (DBA)</v>
      </c>
      <c r="C18" s="7" t="str">
        <f aca="false">Merchant_Map!C15</f>
        <v>Processor C</v>
      </c>
      <c r="D18" s="7" t="str">
        <f aca="false">Merchant_Map!E15</f>
        <v>Partner Alpha</v>
      </c>
      <c r="E18" s="16" t="n">
        <f aca="false">SUMIFS(Residual_Data!$E$5:$E$346,Residual_Data!$A$5:$A$346,$B$3,Residual_Data!$B$5:$B$346,A18)</f>
        <v>676397</v>
      </c>
      <c r="F18" s="14" t="n">
        <f aca="false">SUMIFS(Residual_Data!$F$5:$F$346,Residual_Data!$A$5:$A$346,$B$3,Residual_Data!$B$5:$B$346,A18,Residual_Data!$D$5:$D$346,"Processing Residual")</f>
        <v>3246.71</v>
      </c>
      <c r="G18" s="14" t="n">
        <f aca="false">SUMIFS(Residual_Data!$F$5:$F$346,Residual_Data!$A$5:$A$346,$B$3,Residual_Data!$B$5:$B$346,A18,Residual_Data!$D$5:$D$346,"Gateway Fee")</f>
        <v>0</v>
      </c>
      <c r="H18" s="14" t="n">
        <f aca="false">F18+G18</f>
        <v>3246.71</v>
      </c>
      <c r="I18" s="17" t="n">
        <f aca="false">Merchant_Map!G15</f>
        <v>0.4</v>
      </c>
      <c r="J18" s="14" t="n">
        <f aca="false">H18*I18</f>
        <v>1298.684</v>
      </c>
      <c r="K18" s="14" t="n">
        <f aca="false">J18*Merchant_Map!H15</f>
        <v>0</v>
      </c>
      <c r="L18" s="14" t="n">
        <f aca="false">H18-J18</f>
        <v>1948.026</v>
      </c>
      <c r="M18" s="14" t="n">
        <f aca="false">SUMIFS(Residual_Data!$F$5:$F$346,Residual_Data!$A$5:$A$346,$B$4,Residual_Data!$B$5:$B$346,A18)</f>
        <v>3112.89</v>
      </c>
      <c r="N18" s="11" t="n">
        <f aca="false">IF(M18=0,"",H18/M18-1)</f>
        <v>0.0429889909376817</v>
      </c>
      <c r="O18" s="5" t="str">
        <f aca="false">IF(AND(E18&gt;0,F18=0),"VOLUME, NO RESIDUAL",IF(AND(M18&gt;0,H18=0),"ZERO REVENUE",IF(AND(M18&gt;0,ABS(N18)&gt;0.25),"MoM &gt;25%","")))</f>
        <v/>
      </c>
    </row>
    <row r="19" customFormat="false" ht="15" hidden="false" customHeight="false" outlineLevel="0" collapsed="false">
      <c r="A19" s="7" t="str">
        <f aca="false">Merchant_Map!A16</f>
        <v>M-012</v>
      </c>
      <c r="B19" s="7" t="str">
        <f aca="false">Merchant_Map!B16</f>
        <v>Merchant 012 (DBA)</v>
      </c>
      <c r="C19" s="7" t="str">
        <f aca="false">Merchant_Map!C16</f>
        <v>Processor D</v>
      </c>
      <c r="D19" s="7" t="str">
        <f aca="false">Merchant_Map!E16</f>
        <v>Partner Beta</v>
      </c>
      <c r="E19" s="16" t="n">
        <f aca="false">SUMIFS(Residual_Data!$E$5:$E$346,Residual_Data!$A$5:$A$346,$B$3,Residual_Data!$B$5:$B$346,A19)</f>
        <v>2851200</v>
      </c>
      <c r="F19" s="14" t="n">
        <f aca="false">SUMIFS(Residual_Data!$F$5:$F$346,Residual_Data!$A$5:$A$346,$B$3,Residual_Data!$B$5:$B$346,A19,Residual_Data!$D$5:$D$346,"Processing Residual")</f>
        <v>10264.32</v>
      </c>
      <c r="G19" s="14" t="n">
        <f aca="false">SUMIFS(Residual_Data!$F$5:$F$346,Residual_Data!$A$5:$A$346,$B$3,Residual_Data!$B$5:$B$346,A19,Residual_Data!$D$5:$D$346,"Gateway Fee")</f>
        <v>1702.2</v>
      </c>
      <c r="H19" s="14" t="n">
        <f aca="false">F19+G19</f>
        <v>11966.52</v>
      </c>
      <c r="I19" s="17" t="n">
        <f aca="false">Merchant_Map!G16</f>
        <v>0.35</v>
      </c>
      <c r="J19" s="14" t="n">
        <f aca="false">H19*I19</f>
        <v>4188.282</v>
      </c>
      <c r="K19" s="14" t="n">
        <f aca="false">J19*Merchant_Map!H16</f>
        <v>1047.0705</v>
      </c>
      <c r="L19" s="14" t="n">
        <f aca="false">H19-J19</f>
        <v>7778.238</v>
      </c>
      <c r="M19" s="14" t="n">
        <f aca="false">SUMIFS(Residual_Data!$F$5:$F$346,Residual_Data!$A$5:$A$346,$B$4,Residual_Data!$B$5:$B$346,A19)</f>
        <v>8384.02</v>
      </c>
      <c r="N19" s="11" t="n">
        <f aca="false">IF(M19=0,"",H19/M19-1)</f>
        <v>0.427300984491926</v>
      </c>
      <c r="O19" s="5" t="str">
        <f aca="false">IF(AND(E19&gt;0,F19=0),"VOLUME, NO RESIDUAL",IF(AND(M19&gt;0,H19=0),"ZERO REVENUE",IF(AND(M19&gt;0,ABS(N19)&gt;0.25),"MoM &gt;25%","")))</f>
        <v>MoM &gt;25%</v>
      </c>
    </row>
    <row r="20" customFormat="false" ht="15" hidden="false" customHeight="false" outlineLevel="0" collapsed="false">
      <c r="A20" s="7" t="str">
        <f aca="false">Merchant_Map!A17</f>
        <v>M-013</v>
      </c>
      <c r="B20" s="7" t="str">
        <f aca="false">Merchant_Map!B17</f>
        <v>Merchant 013 (DBA)</v>
      </c>
      <c r="C20" s="7" t="str">
        <f aca="false">Merchant_Map!C17</f>
        <v>Processor A</v>
      </c>
      <c r="D20" s="7" t="str">
        <f aca="false">Merchant_Map!E17</f>
        <v>House (Direct)</v>
      </c>
      <c r="E20" s="16" t="n">
        <f aca="false">SUMIFS(Residual_Data!$E$5:$E$346,Residual_Data!$A$5:$A$346,$B$3,Residual_Data!$B$5:$B$346,A20)</f>
        <v>717114</v>
      </c>
      <c r="F20" s="14" t="n">
        <f aca="false">SUMIFS(Residual_Data!$F$5:$F$346,Residual_Data!$A$5:$A$346,$B$3,Residual_Data!$B$5:$B$346,A20,Residual_Data!$D$5:$D$346,"Processing Residual")</f>
        <v>2581.61</v>
      </c>
      <c r="G20" s="14" t="n">
        <f aca="false">SUMIFS(Residual_Data!$F$5:$F$346,Residual_Data!$A$5:$A$346,$B$3,Residual_Data!$B$5:$B$346,A20,Residual_Data!$D$5:$D$346,"Gateway Fee")</f>
        <v>0</v>
      </c>
      <c r="H20" s="14" t="n">
        <f aca="false">F20+G20</f>
        <v>2581.61</v>
      </c>
      <c r="I20" s="17" t="n">
        <f aca="false">Merchant_Map!G17</f>
        <v>0</v>
      </c>
      <c r="J20" s="14" t="n">
        <f aca="false">H20*I20</f>
        <v>0</v>
      </c>
      <c r="K20" s="14" t="n">
        <f aca="false">J20*Merchant_Map!H17</f>
        <v>0</v>
      </c>
      <c r="L20" s="14" t="n">
        <f aca="false">H20-J20</f>
        <v>2581.61</v>
      </c>
      <c r="M20" s="14" t="n">
        <f aca="false">SUMIFS(Residual_Data!$F$5:$F$346,Residual_Data!$A$5:$A$346,$B$4,Residual_Data!$B$5:$B$346,A20)</f>
        <v>2581.21</v>
      </c>
      <c r="N20" s="11" t="n">
        <f aca="false">IF(M20=0,"",H20/M20-1)</f>
        <v>0.000154966081798991</v>
      </c>
      <c r="O20" s="5" t="str">
        <f aca="false">IF(AND(E20&gt;0,F20=0),"VOLUME, NO RESIDUAL",IF(AND(M20&gt;0,H20=0),"ZERO REVENUE",IF(AND(M20&gt;0,ABS(N20)&gt;0.25),"MoM &gt;25%","")))</f>
        <v/>
      </c>
    </row>
    <row r="21" customFormat="false" ht="15" hidden="false" customHeight="false" outlineLevel="0" collapsed="false">
      <c r="A21" s="7" t="str">
        <f aca="false">Merchant_Map!A18</f>
        <v>M-014</v>
      </c>
      <c r="B21" s="7" t="str">
        <f aca="false">Merchant_Map!B18</f>
        <v>Merchant 014 (DBA)</v>
      </c>
      <c r="C21" s="7" t="str">
        <f aca="false">Merchant_Map!C18</f>
        <v>Processor B</v>
      </c>
      <c r="D21" s="7" t="str">
        <f aca="false">Merchant_Map!E18</f>
        <v>Partner Delta</v>
      </c>
      <c r="E21" s="16" t="n">
        <f aca="false">SUMIFS(Residual_Data!$E$5:$E$346,Residual_Data!$A$5:$A$346,$B$3,Residual_Data!$B$5:$B$346,A21)</f>
        <v>1561867</v>
      </c>
      <c r="F21" s="14" t="n">
        <f aca="false">SUMIFS(Residual_Data!$F$5:$F$346,Residual_Data!$A$5:$A$346,$B$3,Residual_Data!$B$5:$B$346,A21,Residual_Data!$D$5:$D$346,"Processing Residual")</f>
        <v>4997.97</v>
      </c>
      <c r="G21" s="14" t="n">
        <f aca="false">SUMIFS(Residual_Data!$F$5:$F$346,Residual_Data!$A$5:$A$346,$B$3,Residual_Data!$B$5:$B$346,A21,Residual_Data!$D$5:$D$346,"Gateway Fee")</f>
        <v>943.75</v>
      </c>
      <c r="H21" s="14" t="n">
        <f aca="false">F21+G21</f>
        <v>5941.72</v>
      </c>
      <c r="I21" s="17" t="n">
        <f aca="false">Merchant_Map!G18</f>
        <v>0.3</v>
      </c>
      <c r="J21" s="14" t="n">
        <f aca="false">H21*I21</f>
        <v>1782.516</v>
      </c>
      <c r="K21" s="14" t="n">
        <f aca="false">J21*Merchant_Map!H18</f>
        <v>0</v>
      </c>
      <c r="L21" s="14" t="n">
        <f aca="false">H21-J21</f>
        <v>4159.204</v>
      </c>
      <c r="M21" s="14" t="n">
        <f aca="false">SUMIFS(Residual_Data!$F$5:$F$346,Residual_Data!$A$5:$A$346,$B$4,Residual_Data!$B$5:$B$346,A21)</f>
        <v>5655.59</v>
      </c>
      <c r="N21" s="11" t="n">
        <f aca="false">IF(M21=0,"",H21/M21-1)</f>
        <v>0.0505924227180541</v>
      </c>
      <c r="O21" s="5" t="str">
        <f aca="false">IF(AND(E21&gt;0,F21=0),"VOLUME, NO RESIDUAL",IF(AND(M21&gt;0,H21=0),"ZERO REVENUE",IF(AND(M21&gt;0,ABS(N21)&gt;0.25),"MoM &gt;25%","")))</f>
        <v/>
      </c>
    </row>
    <row r="22" customFormat="false" ht="15" hidden="false" customHeight="false" outlineLevel="0" collapsed="false">
      <c r="A22" s="7" t="str">
        <f aca="false">Merchant_Map!A19</f>
        <v>M-015</v>
      </c>
      <c r="B22" s="7" t="str">
        <f aca="false">Merchant_Map!B19</f>
        <v>Merchant 015 (DBA)</v>
      </c>
      <c r="C22" s="7" t="str">
        <f aca="false">Merchant_Map!C19</f>
        <v>Processor C</v>
      </c>
      <c r="D22" s="7" t="str">
        <f aca="false">Merchant_Map!E19</f>
        <v>Partner Alpha</v>
      </c>
      <c r="E22" s="16" t="n">
        <f aca="false">SUMIFS(Residual_Data!$E$5:$E$346,Residual_Data!$A$5:$A$346,$B$3,Residual_Data!$B$5:$B$346,A22)</f>
        <v>221390</v>
      </c>
      <c r="F22" s="14" t="n">
        <f aca="false">SUMIFS(Residual_Data!$F$5:$F$346,Residual_Data!$A$5:$A$346,$B$3,Residual_Data!$B$5:$B$346,A22,Residual_Data!$D$5:$D$346,"Processing Residual")</f>
        <v>1217.64</v>
      </c>
      <c r="G22" s="14" t="n">
        <f aca="false">SUMIFS(Residual_Data!$F$5:$F$346,Residual_Data!$A$5:$A$346,$B$3,Residual_Data!$B$5:$B$346,A22,Residual_Data!$D$5:$D$346,"Gateway Fee")</f>
        <v>0</v>
      </c>
      <c r="H22" s="14" t="n">
        <f aca="false">F22+G22</f>
        <v>1217.64</v>
      </c>
      <c r="I22" s="17" t="n">
        <f aca="false">Merchant_Map!G19</f>
        <v>0.4</v>
      </c>
      <c r="J22" s="14" t="n">
        <f aca="false">H22*I22</f>
        <v>487.056</v>
      </c>
      <c r="K22" s="14" t="n">
        <f aca="false">J22*Merchant_Map!H19</f>
        <v>0</v>
      </c>
      <c r="L22" s="14" t="n">
        <f aca="false">H22-J22</f>
        <v>730.584</v>
      </c>
      <c r="M22" s="14" t="n">
        <f aca="false">SUMIFS(Residual_Data!$F$5:$F$346,Residual_Data!$A$5:$A$346,$B$4,Residual_Data!$B$5:$B$346,A22)</f>
        <v>1247.85</v>
      </c>
      <c r="N22" s="11" t="n">
        <f aca="false">IF(M22=0,"",H22/M22-1)</f>
        <v>-0.0242096405818005</v>
      </c>
      <c r="O22" s="5" t="str">
        <f aca="false">IF(AND(E22&gt;0,F22=0),"VOLUME, NO RESIDUAL",IF(AND(M22&gt;0,H22=0),"ZERO REVENUE",IF(AND(M22&gt;0,ABS(N22)&gt;0.25),"MoM &gt;25%","")))</f>
        <v/>
      </c>
    </row>
    <row r="23" customFormat="false" ht="15" hidden="false" customHeight="false" outlineLevel="0" collapsed="false">
      <c r="A23" s="7" t="str">
        <f aca="false">Merchant_Map!A20</f>
        <v>M-016</v>
      </c>
      <c r="B23" s="7" t="str">
        <f aca="false">Merchant_Map!B20</f>
        <v>Merchant 016 (DBA)</v>
      </c>
      <c r="C23" s="7" t="str">
        <f aca="false">Merchant_Map!C20</f>
        <v>Processor D</v>
      </c>
      <c r="D23" s="7" t="str">
        <f aca="false">Merchant_Map!E20</f>
        <v>Partner Alpha</v>
      </c>
      <c r="E23" s="16" t="n">
        <f aca="false">SUMIFS(Residual_Data!$E$5:$E$346,Residual_Data!$A$5:$A$346,$B$3,Residual_Data!$B$5:$B$346,A23)</f>
        <v>568568</v>
      </c>
      <c r="F23" s="14" t="n">
        <f aca="false">SUMIFS(Residual_Data!$F$5:$F$346,Residual_Data!$A$5:$A$346,$B$3,Residual_Data!$B$5:$B$346,A23,Residual_Data!$D$5:$D$346,"Processing Residual")</f>
        <v>2729.13</v>
      </c>
      <c r="G23" s="14" t="n">
        <f aca="false">SUMIFS(Residual_Data!$F$5:$F$346,Residual_Data!$A$5:$A$346,$B$3,Residual_Data!$B$5:$B$346,A23,Residual_Data!$D$5:$D$346,"Gateway Fee")</f>
        <v>359.45</v>
      </c>
      <c r="H23" s="14" t="n">
        <f aca="false">F23+G23</f>
        <v>3088.58</v>
      </c>
      <c r="I23" s="17" t="n">
        <f aca="false">Merchant_Map!G20</f>
        <v>0.4</v>
      </c>
      <c r="J23" s="14" t="n">
        <f aca="false">H23*I23</f>
        <v>1235.432</v>
      </c>
      <c r="K23" s="14" t="n">
        <f aca="false">J23*Merchant_Map!H20</f>
        <v>0</v>
      </c>
      <c r="L23" s="14" t="n">
        <f aca="false">H23-J23</f>
        <v>1853.148</v>
      </c>
      <c r="M23" s="14" t="n">
        <f aca="false">SUMIFS(Residual_Data!$F$5:$F$346,Residual_Data!$A$5:$A$346,$B$4,Residual_Data!$B$5:$B$346,A23)</f>
        <v>2934.17</v>
      </c>
      <c r="N23" s="11" t="n">
        <f aca="false">IF(M23=0,"",H23/M23-1)</f>
        <v>0.0526247627097272</v>
      </c>
      <c r="O23" s="5" t="str">
        <f aca="false">IF(AND(E23&gt;0,F23=0),"VOLUME, NO RESIDUAL",IF(AND(M23&gt;0,H23=0),"ZERO REVENUE",IF(AND(M23&gt;0,ABS(N23)&gt;0.25),"MoM &gt;25%","")))</f>
        <v/>
      </c>
    </row>
    <row r="24" customFormat="false" ht="15" hidden="false" customHeight="false" outlineLevel="0" collapsed="false">
      <c r="A24" s="7" t="str">
        <f aca="false">Merchant_Map!A21</f>
        <v>M-017</v>
      </c>
      <c r="B24" s="7" t="str">
        <f aca="false">Merchant_Map!B21</f>
        <v>Merchant 017 (DBA)</v>
      </c>
      <c r="C24" s="7" t="str">
        <f aca="false">Merchant_Map!C21</f>
        <v>Processor A</v>
      </c>
      <c r="D24" s="7" t="str">
        <f aca="false">Merchant_Map!E21</f>
        <v>Partner Beta</v>
      </c>
      <c r="E24" s="16" t="n">
        <f aca="false">SUMIFS(Residual_Data!$E$5:$E$346,Residual_Data!$A$5:$A$346,$B$3,Residual_Data!$B$5:$B$346,A24)</f>
        <v>1258539</v>
      </c>
      <c r="F24" s="14" t="n">
        <f aca="false">SUMIFS(Residual_Data!$F$5:$F$346,Residual_Data!$A$5:$A$346,$B$3,Residual_Data!$B$5:$B$346,A24,Residual_Data!$D$5:$D$346,"Processing Residual")</f>
        <v>4027.32</v>
      </c>
      <c r="G24" s="14" t="n">
        <f aca="false">SUMIFS(Residual_Data!$F$5:$F$346,Residual_Data!$A$5:$A$346,$B$3,Residual_Data!$B$5:$B$346,A24,Residual_Data!$D$5:$D$346,"Gateway Fee")</f>
        <v>0</v>
      </c>
      <c r="H24" s="14" t="n">
        <f aca="false">F24+G24</f>
        <v>4027.32</v>
      </c>
      <c r="I24" s="17" t="n">
        <f aca="false">Merchant_Map!G21</f>
        <v>0.35</v>
      </c>
      <c r="J24" s="14" t="n">
        <f aca="false">H24*I24</f>
        <v>1409.562</v>
      </c>
      <c r="K24" s="14" t="n">
        <f aca="false">J24*Merchant_Map!H21</f>
        <v>352.3905</v>
      </c>
      <c r="L24" s="14" t="n">
        <f aca="false">H24-J24</f>
        <v>2617.758</v>
      </c>
      <c r="M24" s="14" t="n">
        <f aca="false">SUMIFS(Residual_Data!$F$5:$F$346,Residual_Data!$A$5:$A$346,$B$4,Residual_Data!$B$5:$B$346,A24)</f>
        <v>3675.74</v>
      </c>
      <c r="N24" s="11" t="n">
        <f aca="false">IF(M24=0,"",H24/M24-1)</f>
        <v>0.0956487673230426</v>
      </c>
      <c r="O24" s="5" t="str">
        <f aca="false">IF(AND(E24&gt;0,F24=0),"VOLUME, NO RESIDUAL",IF(AND(M24&gt;0,H24=0),"ZERO REVENUE",IF(AND(M24&gt;0,ABS(N24)&gt;0.25),"MoM &gt;25%","")))</f>
        <v/>
      </c>
    </row>
    <row r="25" customFormat="false" ht="15" hidden="false" customHeight="false" outlineLevel="0" collapsed="false">
      <c r="A25" s="7" t="str">
        <f aca="false">Merchant_Map!A22</f>
        <v>M-018</v>
      </c>
      <c r="B25" s="7" t="str">
        <f aca="false">Merchant_Map!B22</f>
        <v>Merchant 018 (DBA)</v>
      </c>
      <c r="C25" s="7" t="str">
        <f aca="false">Merchant_Map!C22</f>
        <v>Processor B</v>
      </c>
      <c r="D25" s="7" t="str">
        <f aca="false">Merchant_Map!E22</f>
        <v>House (Direct)</v>
      </c>
      <c r="E25" s="16" t="n">
        <f aca="false">SUMIFS(Residual_Data!$E$5:$E$346,Residual_Data!$A$5:$A$346,$B$3,Residual_Data!$B$5:$B$346,A25)</f>
        <v>863758</v>
      </c>
      <c r="F25" s="14" t="n">
        <f aca="false">SUMIFS(Residual_Data!$F$5:$F$346,Residual_Data!$A$5:$A$346,$B$3,Residual_Data!$B$5:$B$346,A25,Residual_Data!$D$5:$D$346,"Processing Residual")</f>
        <v>0</v>
      </c>
      <c r="G25" s="14" t="n">
        <f aca="false">SUMIFS(Residual_Data!$F$5:$F$346,Residual_Data!$A$5:$A$346,$B$3,Residual_Data!$B$5:$B$346,A25,Residual_Data!$D$5:$D$346,"Gateway Fee")</f>
        <v>533.1</v>
      </c>
      <c r="H25" s="14" t="n">
        <f aca="false">F25+G25</f>
        <v>533.1</v>
      </c>
      <c r="I25" s="17" t="n">
        <f aca="false">Merchant_Map!G22</f>
        <v>0</v>
      </c>
      <c r="J25" s="14" t="n">
        <f aca="false">H25*I25</f>
        <v>0</v>
      </c>
      <c r="K25" s="14" t="n">
        <f aca="false">J25*Merchant_Map!H22</f>
        <v>0</v>
      </c>
      <c r="L25" s="14" t="n">
        <f aca="false">H25-J25</f>
        <v>533.1</v>
      </c>
      <c r="M25" s="14" t="n">
        <f aca="false">SUMIFS(Residual_Data!$F$5:$F$346,Residual_Data!$A$5:$A$346,$B$4,Residual_Data!$B$5:$B$346,A25)</f>
        <v>2776.52</v>
      </c>
      <c r="N25" s="11" t="n">
        <f aca="false">IF(M25=0,"",H25/M25-1)</f>
        <v>-0.807997061069252</v>
      </c>
      <c r="O25" s="5" t="str">
        <f aca="false">IF(AND(E25&gt;0,F25=0),"VOLUME, NO RESIDUAL",IF(AND(M25&gt;0,H25=0),"ZERO REVENUE",IF(AND(M25&gt;0,ABS(N25)&gt;0.25),"MoM &gt;25%","")))</f>
        <v>VOLUME, NO RESIDUAL</v>
      </c>
    </row>
    <row r="26" customFormat="false" ht="15" hidden="false" customHeight="false" outlineLevel="0" collapsed="false">
      <c r="A26" s="7" t="str">
        <f aca="false">Merchant_Map!A23</f>
        <v>M-019</v>
      </c>
      <c r="B26" s="7" t="str">
        <f aca="false">Merchant_Map!B23</f>
        <v>Merchant 019 (DBA)</v>
      </c>
      <c r="C26" s="7" t="str">
        <f aca="false">Merchant_Map!C23</f>
        <v>Processor C</v>
      </c>
      <c r="D26" s="7" t="str">
        <f aca="false">Merchant_Map!E23</f>
        <v>Partner Delta</v>
      </c>
      <c r="E26" s="16" t="n">
        <f aca="false">SUMIFS(Residual_Data!$E$5:$E$346,Residual_Data!$A$5:$A$346,$B$3,Residual_Data!$B$5:$B$346,A26)</f>
        <v>681843</v>
      </c>
      <c r="F26" s="14" t="n">
        <f aca="false">SUMIFS(Residual_Data!$F$5:$F$346,Residual_Data!$A$5:$A$346,$B$3,Residual_Data!$B$5:$B$346,A26,Residual_Data!$D$5:$D$346,"Processing Residual")</f>
        <v>3750.14</v>
      </c>
      <c r="G26" s="14" t="n">
        <f aca="false">SUMIFS(Residual_Data!$F$5:$F$346,Residual_Data!$A$5:$A$346,$B$3,Residual_Data!$B$5:$B$346,A26,Residual_Data!$D$5:$D$346,"Gateway Fee")</f>
        <v>0</v>
      </c>
      <c r="H26" s="14" t="n">
        <f aca="false">F26+G26</f>
        <v>3750.14</v>
      </c>
      <c r="I26" s="17" t="n">
        <f aca="false">Merchant_Map!G23</f>
        <v>0.5</v>
      </c>
      <c r="J26" s="14" t="n">
        <f aca="false">H26*I26</f>
        <v>1875.07</v>
      </c>
      <c r="K26" s="14" t="n">
        <f aca="false">J26*Merchant_Map!H23</f>
        <v>0</v>
      </c>
      <c r="L26" s="14" t="n">
        <f aca="false">H26-J26</f>
        <v>1875.07</v>
      </c>
      <c r="M26" s="14" t="n">
        <f aca="false">SUMIFS(Residual_Data!$F$5:$F$346,Residual_Data!$A$5:$A$346,$B$4,Residual_Data!$B$5:$B$346,A26)</f>
        <v>4042.44</v>
      </c>
      <c r="N26" s="11" t="n">
        <f aca="false">IF(M26=0,"",H26/M26-1)</f>
        <v>-0.0723078140924789</v>
      </c>
      <c r="O26" s="5" t="str">
        <f aca="false">IF(AND(E26&gt;0,F26=0),"VOLUME, NO RESIDUAL",IF(AND(M26&gt;0,H26=0),"ZERO REVENUE",IF(AND(M26&gt;0,ABS(N26)&gt;0.25),"MoM &gt;25%","")))</f>
        <v/>
      </c>
    </row>
    <row r="27" customFormat="false" ht="15" hidden="false" customHeight="false" outlineLevel="0" collapsed="false">
      <c r="A27" s="7" t="str">
        <f aca="false">Merchant_Map!A24</f>
        <v>M-020</v>
      </c>
      <c r="B27" s="7" t="str">
        <f aca="false">Merchant_Map!B24</f>
        <v>Merchant 020 (DBA)</v>
      </c>
      <c r="C27" s="7" t="str">
        <f aca="false">Merchant_Map!C24</f>
        <v>Processor D</v>
      </c>
      <c r="D27" s="7" t="str">
        <f aca="false">Merchant_Map!E24</f>
        <v>Partner Alpha</v>
      </c>
      <c r="E27" s="16" t="n">
        <f aca="false">SUMIFS(Residual_Data!$E$5:$E$346,Residual_Data!$A$5:$A$346,$B$3,Residual_Data!$B$5:$B$346,A27)</f>
        <v>940104</v>
      </c>
      <c r="F27" s="14" t="n">
        <f aca="false">SUMIFS(Residual_Data!$F$5:$F$346,Residual_Data!$A$5:$A$346,$B$3,Residual_Data!$B$5:$B$346,A27,Residual_Data!$D$5:$D$346,"Processing Residual")</f>
        <v>2068.23</v>
      </c>
      <c r="G27" s="14" t="n">
        <f aca="false">SUMIFS(Residual_Data!$F$5:$F$346,Residual_Data!$A$5:$A$346,$B$3,Residual_Data!$B$5:$B$346,A27,Residual_Data!$D$5:$D$346,"Gateway Fee")</f>
        <v>578</v>
      </c>
      <c r="H27" s="14" t="n">
        <f aca="false">F27+G27</f>
        <v>2646.23</v>
      </c>
      <c r="I27" s="17" t="n">
        <f aca="false">Merchant_Map!G24</f>
        <v>0.4</v>
      </c>
      <c r="J27" s="14" t="n">
        <f aca="false">H27*I27</f>
        <v>1058.492</v>
      </c>
      <c r="K27" s="14" t="n">
        <f aca="false">J27*Merchant_Map!H24</f>
        <v>0</v>
      </c>
      <c r="L27" s="14" t="n">
        <f aca="false">H27-J27</f>
        <v>1587.738</v>
      </c>
      <c r="M27" s="14" t="n">
        <f aca="false">SUMIFS(Residual_Data!$F$5:$F$346,Residual_Data!$A$5:$A$346,$B$4,Residual_Data!$B$5:$B$346,A27)</f>
        <v>2917.44</v>
      </c>
      <c r="N27" s="11" t="n">
        <f aca="false">IF(M27=0,"",H27/M27-1)</f>
        <v>-0.0929616376000876</v>
      </c>
      <c r="O27" s="5" t="str">
        <f aca="false">IF(AND(E27&gt;0,F27=0),"VOLUME, NO RESIDUAL",IF(AND(M27&gt;0,H27=0),"ZERO REVENUE",IF(AND(M27&gt;0,ABS(N27)&gt;0.25),"MoM &gt;25%","")))</f>
        <v/>
      </c>
    </row>
    <row r="28" customFormat="false" ht="15" hidden="false" customHeight="false" outlineLevel="0" collapsed="false">
      <c r="A28" s="18" t="s">
        <v>149</v>
      </c>
      <c r="B28" s="19"/>
      <c r="C28" s="19"/>
      <c r="D28" s="19"/>
      <c r="E28" s="20" t="n">
        <f aca="false">SUM(E8:E27)</f>
        <v>16172784</v>
      </c>
      <c r="F28" s="20" t="n">
        <f aca="false">SUM(F8:F27)</f>
        <v>54251.02</v>
      </c>
      <c r="G28" s="20" t="n">
        <f aca="false">SUM(G8:G27)</f>
        <v>6323.25</v>
      </c>
      <c r="H28" s="20" t="n">
        <f aca="false">SUM(H8:H27)</f>
        <v>60574.27</v>
      </c>
      <c r="I28" s="21" t="n">
        <f aca="false">IF(H28=0,0,J28/H28)</f>
        <v>0.346699473225183</v>
      </c>
      <c r="J28" s="20" t="n">
        <f aca="false">SUM(J8:J27)</f>
        <v>21001.0675</v>
      </c>
      <c r="K28" s="20" t="n">
        <f aca="false">SUM(K8:K27)</f>
        <v>1721.641625</v>
      </c>
      <c r="L28" s="20" t="n">
        <f aca="false">SUM(L8:L27)</f>
        <v>39573.2025</v>
      </c>
      <c r="M28" s="20" t="n">
        <f aca="false">SUM(M8:M27)</f>
        <v>62558.23</v>
      </c>
      <c r="N28" s="21" t="n">
        <f aca="false">IF(M28=0,"",H28/M28-1)</f>
        <v>-0.0317138128748208</v>
      </c>
      <c r="O28" s="18" t="str">
        <f aca="false">COUNTIF(O8:O27,"?*")&amp;" exceptions"</f>
        <v>3 exceptions</v>
      </c>
    </row>
    <row r="30" customFormat="false" ht="15" hidden="false" customHeight="false" outlineLevel="0" collapsed="false">
      <c r="A30" s="3" t="s">
        <v>150</v>
      </c>
    </row>
    <row r="31" customFormat="false" ht="30" hidden="false" customHeight="true" outlineLevel="0" collapsed="false">
      <c r="A31" s="9" t="s">
        <v>45</v>
      </c>
      <c r="B31" s="9" t="s">
        <v>151</v>
      </c>
      <c r="C31" s="9" t="s">
        <v>152</v>
      </c>
      <c r="D31" s="9" t="s">
        <v>153</v>
      </c>
      <c r="E31" s="9" t="s">
        <v>154</v>
      </c>
      <c r="F31" s="9" t="s">
        <v>155</v>
      </c>
      <c r="G31" s="9" t="s">
        <v>156</v>
      </c>
    </row>
    <row r="32" customFormat="false" ht="15" hidden="false" customHeight="false" outlineLevel="0" collapsed="false">
      <c r="A32" s="7" t="str">
        <f aca="false">Partner_Rules!A5</f>
        <v>House (Direct)</v>
      </c>
      <c r="B32" s="16" t="n">
        <f aca="false">SUMIFS($H$8:$H$27,$D$8:$D$27,A32)</f>
        <v>6647.61</v>
      </c>
      <c r="C32" s="14" t="n">
        <f aca="false">SUMIFS($J$8:$J$27,$D$8:$D$27,A32)-SUMIFS($K$8:$K$27,$D$8:$D$27,A32)+IFERROR(SUMIFS($K$8:$K$27,$D$8:$D$27,INDEX(Partner_Rules!$A$5:$A$9,MATCH(A32,Partner_Rules!$C$5:$C$9,0))),0)</f>
        <v>0</v>
      </c>
      <c r="D32" s="11" t="n">
        <f aca="false">IF(B32=0,"",C32/B32)</f>
        <v>0</v>
      </c>
      <c r="E32" s="13" t="n">
        <v>0</v>
      </c>
      <c r="F32" s="14" t="n">
        <f aca="false">C32-E32</f>
        <v>0</v>
      </c>
      <c r="G32" s="5" t="str">
        <f aca="false">IF(C32=0,"N/A",IF(F32&lt;=0.005,"Paid",IF(E32=0,"Unpaid","Partial")))</f>
        <v>N/A</v>
      </c>
    </row>
    <row r="33" customFormat="false" ht="15" hidden="false" customHeight="false" outlineLevel="0" collapsed="false">
      <c r="A33" s="7" t="str">
        <f aca="false">Partner_Rules!A6</f>
        <v>Partner Alpha</v>
      </c>
      <c r="B33" s="16" t="n">
        <f aca="false">SUMIFS($H$8:$H$27,$D$8:$D$27,A33)</f>
        <v>19151.1</v>
      </c>
      <c r="C33" s="14" t="n">
        <f aca="false">SUMIFS($J$8:$J$27,$D$8:$D$27,A33)-SUMIFS($K$8:$K$27,$D$8:$D$27,A33)+IFERROR(SUMIFS($K$8:$K$27,$D$8:$D$27,INDEX(Partner_Rules!$A$5:$A$9,MATCH(A33,Partner_Rules!$C$5:$C$9,0))),0)</f>
        <v>7660.44</v>
      </c>
      <c r="D33" s="11" t="n">
        <f aca="false">IF(B33=0,"",C33/B33)</f>
        <v>0.4</v>
      </c>
      <c r="E33" s="13" t="n">
        <v>7660.44</v>
      </c>
      <c r="F33" s="14" t="n">
        <f aca="false">C33-E33</f>
        <v>0</v>
      </c>
      <c r="G33" s="5" t="str">
        <f aca="false">IF(C33=0,"N/A",IF(F33&lt;=0.005,"Paid",IF(E33=0,"Unpaid","Partial")))</f>
        <v>Paid</v>
      </c>
    </row>
    <row r="34" customFormat="false" ht="15" hidden="false" customHeight="false" outlineLevel="0" collapsed="false">
      <c r="A34" s="7" t="str">
        <f aca="false">Partner_Rules!A7</f>
        <v>Partner Beta</v>
      </c>
      <c r="B34" s="16" t="n">
        <f aca="false">SUMIFS($H$8:$H$27,$D$8:$D$27,A34)</f>
        <v>19490.75</v>
      </c>
      <c r="C34" s="14" t="n">
        <f aca="false">SUMIFS($J$8:$J$27,$D$8:$D$27,A34)-SUMIFS($K$8:$K$27,$D$8:$D$27,A34)+IFERROR(SUMIFS($K$8:$K$27,$D$8:$D$27,INDEX(Partner_Rules!$A$5:$A$9,MATCH(A34,Partner_Rules!$C$5:$C$9,0))),0)</f>
        <v>5164.924875</v>
      </c>
      <c r="D34" s="11" t="n">
        <f aca="false">IF(B34=0,"",C34/B34)</f>
        <v>0.264993644421072</v>
      </c>
      <c r="E34" s="13" t="n">
        <v>2580</v>
      </c>
      <c r="F34" s="14" t="n">
        <f aca="false">C34-E34</f>
        <v>2584.924875</v>
      </c>
      <c r="G34" s="5" t="str">
        <f aca="false">IF(C34=0,"N/A",IF(F34&lt;=0.005,"Paid",IF(E34=0,"Unpaid","Partial")))</f>
        <v>Partial</v>
      </c>
    </row>
    <row r="35" customFormat="false" ht="15" hidden="false" customHeight="false" outlineLevel="0" collapsed="false">
      <c r="A35" s="7" t="str">
        <f aca="false">Partner_Rules!A8</f>
        <v>Partner Gamma</v>
      </c>
      <c r="B35" s="16" t="n">
        <f aca="false">SUMIFS($H$8:$H$27,$D$8:$D$27,A35)</f>
        <v>0</v>
      </c>
      <c r="C35" s="14" t="n">
        <f aca="false">SUMIFS($J$8:$J$27,$D$8:$D$27,A35)-SUMIFS($K$8:$K$27,$D$8:$D$27,A35)+IFERROR(SUMIFS($K$8:$K$27,$D$8:$D$27,INDEX(Partner_Rules!$A$5:$A$9,MATCH(A35,Partner_Rules!$C$5:$C$9,0))),0)</f>
        <v>1721.641625</v>
      </c>
      <c r="D35" s="11" t="str">
        <f aca="false">IF(B35=0,"",C35/B35)</f>
        <v/>
      </c>
      <c r="E35" s="13" t="n">
        <v>0</v>
      </c>
      <c r="F35" s="14" t="n">
        <f aca="false">C35-E35</f>
        <v>1721.641625</v>
      </c>
      <c r="G35" s="5" t="str">
        <f aca="false">IF(C35=0,"N/A",IF(F35&lt;=0.005,"Paid",IF(E35=0,"Unpaid","Partial")))</f>
        <v>Unpaid</v>
      </c>
    </row>
    <row r="36" customFormat="false" ht="15" hidden="false" customHeight="false" outlineLevel="0" collapsed="false">
      <c r="A36" s="7" t="str">
        <f aca="false">Partner_Rules!A9</f>
        <v>Partner Delta</v>
      </c>
      <c r="B36" s="16" t="n">
        <f aca="false">SUMIFS($H$8:$H$27,$D$8:$D$27,A36)</f>
        <v>15284.81</v>
      </c>
      <c r="C36" s="14" t="n">
        <f aca="false">SUMIFS($J$8:$J$27,$D$8:$D$27,A36)-SUMIFS($K$8:$K$27,$D$8:$D$27,A36)+IFERROR(SUMIFS($K$8:$K$27,$D$8:$D$27,INDEX(Partner_Rules!$A$5:$A$9,MATCH(A36,Partner_Rules!$C$5:$C$9,0))),0)</f>
        <v>6454.061</v>
      </c>
      <c r="D36" s="11" t="n">
        <f aca="false">IF(B36=0,"",C36/B36)</f>
        <v>0.42225326974951</v>
      </c>
      <c r="E36" s="13" t="n">
        <v>0</v>
      </c>
      <c r="F36" s="14" t="n">
        <f aca="false">C36-E36</f>
        <v>6454.061</v>
      </c>
      <c r="G36" s="5" t="str">
        <f aca="false">IF(C36=0,"N/A",IF(F36&lt;=0.005,"Paid",IF(E36=0,"Unpaid","Partial")))</f>
        <v>Unpaid</v>
      </c>
    </row>
    <row r="37" customFormat="false" ht="15" hidden="false" customHeight="false" outlineLevel="0" collapsed="false">
      <c r="A37" s="18" t="s">
        <v>149</v>
      </c>
      <c r="B37" s="20" t="n">
        <f aca="false">SUM(B32:B36)</f>
        <v>60574.27</v>
      </c>
      <c r="C37" s="20" t="n">
        <f aca="false">SUM(C32:C36)</f>
        <v>21001.0675</v>
      </c>
      <c r="D37" s="21" t="n">
        <f aca="false">IF(B37=0,"",C37/B37)</f>
        <v>0.346699473225183</v>
      </c>
      <c r="E37" s="20" t="n">
        <f aca="false">SUM(E32:E36)</f>
        <v>10240.44</v>
      </c>
      <c r="F37" s="20" t="n">
        <f aca="false">SUM(F32:F36)</f>
        <v>10760.6275</v>
      </c>
      <c r="G37" s="19"/>
      <c r="H37" s="3" t="str">
        <f aca="false">IF(ABS(C37-J28)&lt;0.01,"✓ Ties to calc","CHECK")</f>
        <v>✓ Ties to calc</v>
      </c>
    </row>
    <row r="38" customFormat="false" ht="15" hidden="false" customHeight="false" outlineLevel="0" collapsed="false">
      <c r="A38" s="2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2"/>
    <col collapsed="false" customWidth="true" hidden="false" outlineLevel="0" max="12" min="12" style="0" width="20"/>
  </cols>
  <sheetData>
    <row r="1" customFormat="false" ht="17.3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159</v>
      </c>
      <c r="B3" s="7" t="str">
        <f aca="false">Rev_Share_Calc!B3</f>
        <v>2026-09</v>
      </c>
    </row>
    <row r="4" customFormat="false" ht="15" hidden="false" customHeight="false" outlineLevel="0" collapsed="false">
      <c r="A4" s="3" t="s">
        <v>160</v>
      </c>
      <c r="B4" s="6" t="s">
        <v>161</v>
      </c>
    </row>
    <row r="6" customFormat="false" ht="30" hidden="false" customHeight="true" outlineLevel="0" collapsed="false">
      <c r="A6" s="9" t="s">
        <v>117</v>
      </c>
      <c r="B6" s="9" t="s">
        <v>162</v>
      </c>
      <c r="C6" s="9" t="s">
        <v>163</v>
      </c>
      <c r="D6" s="9" t="s">
        <v>164</v>
      </c>
      <c r="E6" s="9" t="s">
        <v>165</v>
      </c>
      <c r="F6" s="9" t="s">
        <v>166</v>
      </c>
      <c r="G6" s="9" t="s">
        <v>167</v>
      </c>
      <c r="H6" s="9" t="s">
        <v>168</v>
      </c>
      <c r="I6" s="9" t="s">
        <v>156</v>
      </c>
      <c r="J6" s="9" t="s">
        <v>169</v>
      </c>
      <c r="L6" s="3" t="s">
        <v>170</v>
      </c>
    </row>
    <row r="7" customFormat="false" ht="15" hidden="false" customHeight="false" outlineLevel="0" collapsed="false">
      <c r="A7" s="6" t="s">
        <v>70</v>
      </c>
      <c r="B7" s="14" t="n">
        <f aca="false">SUMIFS(Residual_Data!$F$5:$F$346,Residual_Data!$A$5:$A$346,$B$3,Residual_Data!$C$5:$C$346,A7)</f>
        <v>10878.13</v>
      </c>
      <c r="C7" s="13" t="n">
        <v>10878.13</v>
      </c>
      <c r="D7" s="14" t="n">
        <f aca="false">C7-B7</f>
        <v>0</v>
      </c>
      <c r="E7" s="11" t="n">
        <f aca="false">IF(B7=0,"",D7/B7)</f>
        <v>0</v>
      </c>
      <c r="F7" s="6" t="s">
        <v>71</v>
      </c>
      <c r="G7" s="22" t="s">
        <v>171</v>
      </c>
      <c r="H7" s="6" t="s">
        <v>172</v>
      </c>
      <c r="I7" s="6" t="s">
        <v>173</v>
      </c>
      <c r="J7" s="6" t="s">
        <v>174</v>
      </c>
      <c r="L7" s="6" t="s">
        <v>71</v>
      </c>
    </row>
    <row r="8" customFormat="false" ht="23.85" hidden="false" customHeight="false" outlineLevel="0" collapsed="false">
      <c r="A8" s="6" t="s">
        <v>74</v>
      </c>
      <c r="B8" s="14" t="n">
        <f aca="false">SUMIFS(Residual_Data!$F$5:$F$346,Residual_Data!$A$5:$A$346,$B$3,Residual_Data!$C$5:$C$346,A8)</f>
        <v>14109.12</v>
      </c>
      <c r="C8" s="13" t="n">
        <v>14064.12</v>
      </c>
      <c r="D8" s="14" t="n">
        <f aca="false">C8-B8</f>
        <v>-44.9999999999982</v>
      </c>
      <c r="E8" s="11" t="n">
        <f aca="false">IF(B8=0,"",D8/B8)</f>
        <v>-0.00318942641355366</v>
      </c>
      <c r="F8" s="6" t="s">
        <v>175</v>
      </c>
      <c r="G8" s="22" t="s">
        <v>176</v>
      </c>
      <c r="H8" s="6" t="s">
        <v>172</v>
      </c>
      <c r="I8" s="6" t="s">
        <v>173</v>
      </c>
      <c r="J8" s="6" t="s">
        <v>174</v>
      </c>
      <c r="L8" s="6" t="s">
        <v>177</v>
      </c>
    </row>
    <row r="9" customFormat="false" ht="23.85" hidden="false" customHeight="false" outlineLevel="0" collapsed="false">
      <c r="A9" s="6" t="s">
        <v>78</v>
      </c>
      <c r="B9" s="14" t="n">
        <f aca="false">SUMIFS(Residual_Data!$F$5:$F$346,Residual_Data!$A$5:$A$346,$B$3,Residual_Data!$C$5:$C$346,A9)</f>
        <v>10930.38</v>
      </c>
      <c r="C9" s="13" t="n">
        <v>10620.38</v>
      </c>
      <c r="D9" s="14" t="n">
        <f aca="false">C9-B9</f>
        <v>-310</v>
      </c>
      <c r="E9" s="11" t="n">
        <f aca="false">IF(B9=0,"",D9/B9)</f>
        <v>-0.0283613195515618</v>
      </c>
      <c r="F9" s="6" t="s">
        <v>178</v>
      </c>
      <c r="G9" s="22" t="s">
        <v>179</v>
      </c>
      <c r="H9" s="6" t="s">
        <v>172</v>
      </c>
      <c r="I9" s="6" t="s">
        <v>180</v>
      </c>
      <c r="J9" s="6" t="s">
        <v>174</v>
      </c>
      <c r="L9" s="6" t="s">
        <v>175</v>
      </c>
    </row>
    <row r="10" customFormat="false" ht="15" hidden="false" customHeight="false" outlineLevel="0" collapsed="false">
      <c r="A10" s="6" t="s">
        <v>81</v>
      </c>
      <c r="B10" s="14" t="n">
        <f aca="false">SUMIFS(Residual_Data!$F$5:$F$346,Residual_Data!$A$5:$A$346,$B$3,Residual_Data!$C$5:$C$346,A10)</f>
        <v>18333.39</v>
      </c>
      <c r="C10" s="13" t="n">
        <v>18333.39</v>
      </c>
      <c r="D10" s="14" t="n">
        <f aca="false">C10-B10</f>
        <v>0</v>
      </c>
      <c r="E10" s="11" t="n">
        <f aca="false">IF(B10=0,"",D10/B10)</f>
        <v>0</v>
      </c>
      <c r="F10" s="6" t="s">
        <v>71</v>
      </c>
      <c r="G10" s="22" t="s">
        <v>171</v>
      </c>
      <c r="H10" s="6" t="s">
        <v>172</v>
      </c>
      <c r="I10" s="6" t="s">
        <v>173</v>
      </c>
      <c r="J10" s="6" t="s">
        <v>174</v>
      </c>
      <c r="L10" s="6" t="s">
        <v>181</v>
      </c>
    </row>
    <row r="11" customFormat="false" ht="15" hidden="false" customHeight="false" outlineLevel="0" collapsed="false">
      <c r="A11" s="6" t="s">
        <v>75</v>
      </c>
      <c r="B11" s="14" t="n">
        <f aca="false">SUMIFS(Residual_Data!$F$5:$F$346,Residual_Data!$A$5:$A$346,$B$3,Residual_Data!$C$5:$C$346,A11)</f>
        <v>6323.25</v>
      </c>
      <c r="C11" s="13" t="n">
        <v>0</v>
      </c>
      <c r="D11" s="14" t="n">
        <f aca="false">C11-B11</f>
        <v>-6323.25</v>
      </c>
      <c r="E11" s="11" t="n">
        <f aca="false">IF(B11=0,"",D11/B11)</f>
        <v>-1</v>
      </c>
      <c r="F11" s="6" t="s">
        <v>177</v>
      </c>
      <c r="G11" s="22" t="s">
        <v>182</v>
      </c>
      <c r="H11" s="6" t="s">
        <v>172</v>
      </c>
      <c r="I11" s="6" t="s">
        <v>173</v>
      </c>
      <c r="J11" s="6" t="s">
        <v>183</v>
      </c>
      <c r="L11" s="6" t="s">
        <v>184</v>
      </c>
    </row>
    <row r="12" customFormat="false" ht="15" hidden="false" customHeight="false" outlineLevel="0" collapsed="false">
      <c r="A12" s="18" t="s">
        <v>149</v>
      </c>
      <c r="B12" s="23" t="n">
        <f aca="false">SUM(B7:B11)</f>
        <v>60574.27</v>
      </c>
      <c r="C12" s="23" t="n">
        <f aca="false">SUM(C7:C11)</f>
        <v>53896.02</v>
      </c>
      <c r="D12" s="23" t="n">
        <f aca="false">SUM(D7:D11)</f>
        <v>-6678.25</v>
      </c>
      <c r="E12" s="21" t="n">
        <f aca="false">IF(B12=0,"",D12/B12)</f>
        <v>-0.110248955538383</v>
      </c>
      <c r="F12" s="19"/>
      <c r="G12" s="19"/>
      <c r="H12" s="19"/>
      <c r="I12" s="19"/>
      <c r="J12" s="19"/>
      <c r="L12" s="6" t="s">
        <v>185</v>
      </c>
    </row>
    <row r="13" customFormat="false" ht="15" hidden="false" customHeight="false" outlineLevel="0" collapsed="false">
      <c r="L13" s="6" t="s">
        <v>186</v>
      </c>
    </row>
    <row r="14" customFormat="false" ht="15" hidden="false" customHeight="false" outlineLevel="0" collapsed="false">
      <c r="A14" s="3" t="s">
        <v>187</v>
      </c>
      <c r="L14" s="6" t="s">
        <v>178</v>
      </c>
    </row>
    <row r="15" customFormat="false" ht="15" hidden="false" customHeight="false" outlineLevel="0" collapsed="false">
      <c r="A15" s="5" t="s">
        <v>188</v>
      </c>
      <c r="D15" s="14" t="n">
        <f aca="false">SUMPRODUCT((F7:F11="")*D7:D11)</f>
        <v>0</v>
      </c>
      <c r="L15" s="6" t="s">
        <v>189</v>
      </c>
    </row>
    <row r="16" customFormat="false" ht="15" hidden="false" customHeight="false" outlineLevel="0" collapsed="false">
      <c r="A16" s="5" t="s">
        <v>190</v>
      </c>
      <c r="D16" s="14" t="n">
        <f aca="false">SUMIFS(D7:D11,F7:F11,"Timing")</f>
        <v>-6323.25</v>
      </c>
      <c r="L16" s="6" t="s">
        <v>191</v>
      </c>
    </row>
    <row r="17" customFormat="false" ht="15" hidden="false" customHeight="false" outlineLevel="0" collapsed="false">
      <c r="A17" s="5" t="s">
        <v>192</v>
      </c>
      <c r="D17" s="14" t="n">
        <f aca="false">D12-D16</f>
        <v>-354.999999999998</v>
      </c>
      <c r="L17" s="6" t="s">
        <v>193</v>
      </c>
    </row>
    <row r="18" customFormat="false" ht="15" hidden="false" customHeight="false" outlineLevel="0" collapsed="false">
      <c r="A18" s="5" t="s">
        <v>194</v>
      </c>
      <c r="D18" s="5" t="n">
        <f aca="false">COUNTIF(I7:I11,"Open")</f>
        <v>1</v>
      </c>
    </row>
    <row r="19" customFormat="false" ht="15" hidden="false" customHeight="false" outlineLevel="0" collapsed="false">
      <c r="A19" s="5" t="s">
        <v>195</v>
      </c>
      <c r="D19" s="3" t="str">
        <f aca="false">IF(D15&lt;&gt;0,"UNEXPLAINED VARIANCE",IF(D18&gt;0,"Explained — items open","Reconciled"))</f>
        <v>Explained — items open</v>
      </c>
    </row>
    <row r="20" customFormat="false" ht="15" hidden="false" customHeight="false" outlineLevel="0" collapsed="false">
      <c r="A20" s="5" t="s">
        <v>196</v>
      </c>
      <c r="D20" s="3" t="str">
        <f aca="false">IF(ABS(B12-Rev_Share_Calc!H28)&lt;0.01,"✓ Ties","CHECK")</f>
        <v>✓ Ties</v>
      </c>
    </row>
    <row r="22" customFormat="false" ht="15" hidden="false" customHeight="false" outlineLevel="0" collapsed="false">
      <c r="A22" s="3" t="s">
        <v>197</v>
      </c>
    </row>
    <row r="23" customFormat="false" ht="30" hidden="false" customHeight="true" outlineLevel="0" collapsed="false">
      <c r="A23" s="9" t="s">
        <v>61</v>
      </c>
      <c r="B23" s="9" t="s">
        <v>117</v>
      </c>
      <c r="C23" s="9" t="s">
        <v>146</v>
      </c>
      <c r="D23" s="9" t="s">
        <v>198</v>
      </c>
      <c r="E23" s="9" t="s">
        <v>199</v>
      </c>
      <c r="F23" s="9" t="s">
        <v>200</v>
      </c>
      <c r="G23" s="9" t="s">
        <v>201</v>
      </c>
      <c r="H23" s="9" t="s">
        <v>168</v>
      </c>
      <c r="I23" s="9" t="s">
        <v>156</v>
      </c>
      <c r="J23" s="9" t="s">
        <v>202</v>
      </c>
    </row>
    <row r="24" customFormat="false" ht="35.05" hidden="false" customHeight="false" outlineLevel="0" collapsed="false">
      <c r="A24" s="6" t="s">
        <v>82</v>
      </c>
      <c r="B24" s="7" t="str">
        <f aca="false">INDEX(Rev_Share_Calc!$C$8:$C$27,MATCH(A24,Rev_Share_Calc!$A$8:$A$27,0))</f>
        <v>Processor A</v>
      </c>
      <c r="C24" s="24" t="n">
        <f aca="false">INDEX(Rev_Share_Calc!$M$8:$M$27,MATCH(A24,Rev_Share_Calc!$A$8:$A$27,0))</f>
        <v>3173.64</v>
      </c>
      <c r="D24" s="24" t="n">
        <f aca="false">INDEX(Rev_Share_Calc!$H$8:$H$27,MATCH(A24,Rev_Share_Calc!$A$8:$A$27,0))</f>
        <v>0</v>
      </c>
      <c r="E24" s="14" t="n">
        <f aca="false">MAX(C24-D24,0)</f>
        <v>3173.64</v>
      </c>
      <c r="F24" s="22" t="s">
        <v>203</v>
      </c>
      <c r="G24" s="22" t="s">
        <v>204</v>
      </c>
      <c r="H24" s="6" t="s">
        <v>172</v>
      </c>
      <c r="I24" s="6" t="s">
        <v>173</v>
      </c>
      <c r="J24" s="6" t="s">
        <v>205</v>
      </c>
    </row>
    <row r="25" customFormat="false" ht="46.25" hidden="false" customHeight="false" outlineLevel="0" collapsed="false">
      <c r="A25" s="6" t="s">
        <v>108</v>
      </c>
      <c r="B25" s="7" t="str">
        <f aca="false">INDEX(Rev_Share_Calc!$C$8:$C$27,MATCH(A25,Rev_Share_Calc!$A$8:$A$27,0))</f>
        <v>Processor B</v>
      </c>
      <c r="C25" s="24" t="n">
        <f aca="false">INDEX(Rev_Share_Calc!$M$8:$M$27,MATCH(A25,Rev_Share_Calc!$A$8:$A$27,0))</f>
        <v>2776.52</v>
      </c>
      <c r="D25" s="24" t="n">
        <f aca="false">INDEX(Rev_Share_Calc!$H$8:$H$27,MATCH(A25,Rev_Share_Calc!$A$8:$A$27,0))</f>
        <v>533.1</v>
      </c>
      <c r="E25" s="14" t="n">
        <f aca="false">MAX(C25-D25,0)</f>
        <v>2243.42</v>
      </c>
      <c r="F25" s="22" t="s">
        <v>206</v>
      </c>
      <c r="G25" s="22" t="s">
        <v>207</v>
      </c>
      <c r="H25" s="6" t="s">
        <v>172</v>
      </c>
      <c r="I25" s="6" t="s">
        <v>180</v>
      </c>
      <c r="J25" s="6" t="s">
        <v>208</v>
      </c>
    </row>
    <row r="26" customFormat="false" ht="35.05" hidden="false" customHeight="false" outlineLevel="0" collapsed="false">
      <c r="A26" s="6" t="s">
        <v>96</v>
      </c>
      <c r="B26" s="7" t="str">
        <f aca="false">INDEX(Rev_Share_Calc!$C$8:$C$27,MATCH(A26,Rev_Share_Calc!$A$8:$A$27,0))</f>
        <v>Processor D</v>
      </c>
      <c r="C26" s="24" t="n">
        <f aca="false">INDEX(Rev_Share_Calc!$M$8:$M$27,MATCH(A26,Rev_Share_Calc!$A$8:$A$27,0))</f>
        <v>8384.02</v>
      </c>
      <c r="D26" s="24" t="n">
        <f aca="false">INDEX(Rev_Share_Calc!$H$8:$H$27,MATCH(A26,Rev_Share_Calc!$A$8:$A$27,0))</f>
        <v>11966.52</v>
      </c>
      <c r="E26" s="14" t="n">
        <f aca="false">MAX(C26-D26,0)</f>
        <v>0</v>
      </c>
      <c r="F26" s="22" t="s">
        <v>209</v>
      </c>
      <c r="G26" s="22" t="s">
        <v>210</v>
      </c>
      <c r="H26" s="6" t="s">
        <v>172</v>
      </c>
      <c r="I26" s="6" t="s">
        <v>173</v>
      </c>
      <c r="J26" s="6" t="s">
        <v>205</v>
      </c>
    </row>
  </sheetData>
  <dataValidations count="2">
    <dataValidation allowBlank="true" errorStyle="stop" operator="between" showDropDown="false" showErrorMessage="false" showInputMessage="false" sqref="F7:F11" type="list">
      <formula1>$L$7:$L$17</formula1>
      <formula2>0</formula2>
    </dataValidation>
    <dataValidation allowBlank="true" errorStyle="stop" operator="between" showDropDown="false" showErrorMessage="false" showInputMessage="false" sqref="I7:I11 I24:I26" type="list">
      <formula1>"Open,Closed,Escalated"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" t="s">
        <v>211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212</v>
      </c>
    </row>
    <row r="5" customFormat="false" ht="30" hidden="false" customHeight="true" outlineLevel="0" collapsed="false">
      <c r="A5" s="9" t="s">
        <v>117</v>
      </c>
      <c r="B5" s="9" t="s">
        <v>119</v>
      </c>
      <c r="C5" s="9" t="s">
        <v>120</v>
      </c>
      <c r="D5" s="9" t="s">
        <v>213</v>
      </c>
      <c r="E5" s="9" t="s">
        <v>121</v>
      </c>
      <c r="F5" s="9" t="s">
        <v>145</v>
      </c>
      <c r="G5" s="9" t="s">
        <v>214</v>
      </c>
      <c r="H5" s="9" t="s">
        <v>215</v>
      </c>
    </row>
    <row r="6" customFormat="false" ht="15" hidden="false" customHeight="false" outlineLevel="0" collapsed="false">
      <c r="A6" s="6" t="s">
        <v>70</v>
      </c>
      <c r="B6" s="16" t="n">
        <f aca="false">SUMIFS(Residual_Data!$E$5:$E$346,Residual_Data!$C$5:$C$346,A6)</f>
        <v>50608907</v>
      </c>
      <c r="C6" s="16" t="n">
        <f aca="false">SUMIFS(Residual_Data!$F$5:$F$346,Residual_Data!$C$5:$C$346,A6)</f>
        <v>152337.79</v>
      </c>
      <c r="D6" s="25" t="n">
        <f aca="false">IF(B6=0,"n/a",C6/B6*10000)</f>
        <v>30.1009840026776</v>
      </c>
      <c r="E6" s="16" t="n">
        <f aca="false">SUMIFS(Residual_Data!$I$5:$I$346,Residual_Data!$C$5:$C$346,A6)</f>
        <v>50581.478</v>
      </c>
      <c r="F6" s="16" t="n">
        <f aca="false">C6-E6</f>
        <v>101756.312</v>
      </c>
      <c r="G6" s="11" t="n">
        <f aca="false">IF(C6=0,"",F6/C6)</f>
        <v>0.667965000673832</v>
      </c>
      <c r="H6" s="11" t="n">
        <f aca="false">F6/$F$11</f>
        <v>0.243362466972276</v>
      </c>
    </row>
    <row r="7" customFormat="false" ht="15" hidden="false" customHeight="false" outlineLevel="0" collapsed="false">
      <c r="A7" s="6" t="s">
        <v>74</v>
      </c>
      <c r="B7" s="16" t="n">
        <f aca="false">SUMIFS(Residual_Data!$E$5:$E$346,Residual_Data!$C$5:$C$346,A7)</f>
        <v>57462848</v>
      </c>
      <c r="C7" s="16" t="n">
        <f aca="false">SUMIFS(Residual_Data!$F$5:$F$346,Residual_Data!$C$5:$C$346,A7)</f>
        <v>183651.06</v>
      </c>
      <c r="D7" s="25" t="n">
        <f aca="false">IF(B7=0,"n/a",C7/B7*10000)</f>
        <v>31.9599648106547</v>
      </c>
      <c r="E7" s="16" t="n">
        <f aca="false">SUMIFS(Residual_Data!$I$5:$I$346,Residual_Data!$C$5:$C$346,A7)</f>
        <v>56684.1995</v>
      </c>
      <c r="F7" s="16" t="n">
        <f aca="false">C7-E7</f>
        <v>126966.8605</v>
      </c>
      <c r="G7" s="11" t="n">
        <f aca="false">IF(C7=0,"",F7/C7)</f>
        <v>0.691348367387588</v>
      </c>
      <c r="H7" s="11" t="n">
        <f aca="false">F7/$F$11</f>
        <v>0.303656527911554</v>
      </c>
    </row>
    <row r="8" customFormat="false" ht="15" hidden="false" customHeight="false" outlineLevel="0" collapsed="false">
      <c r="A8" s="6" t="s">
        <v>78</v>
      </c>
      <c r="B8" s="16" t="n">
        <f aca="false">SUMIFS(Residual_Data!$E$5:$E$346,Residual_Data!$C$5:$C$346,A8)</f>
        <v>29270656</v>
      </c>
      <c r="C8" s="16" t="n">
        <f aca="false">SUMIFS(Residual_Data!$F$5:$F$346,Residual_Data!$C$5:$C$346,A8)</f>
        <v>123215.24</v>
      </c>
      <c r="D8" s="25" t="n">
        <f aca="false">IF(B8=0,"n/a",C8/B8*10000)</f>
        <v>42.0951412909912</v>
      </c>
      <c r="E8" s="16" t="n">
        <f aca="false">SUMIFS(Residual_Data!$I$5:$I$346,Residual_Data!$C$5:$C$346,A8)</f>
        <v>44846.199</v>
      </c>
      <c r="F8" s="16" t="n">
        <f aca="false">C8-E8</f>
        <v>78369.041</v>
      </c>
      <c r="G8" s="11" t="n">
        <f aca="false">IF(C8=0,"",F8/C8)</f>
        <v>0.636033667588522</v>
      </c>
      <c r="H8" s="11" t="n">
        <f aca="false">F8/$F$11</f>
        <v>0.187428993613796</v>
      </c>
    </row>
    <row r="9" customFormat="false" ht="15" hidden="false" customHeight="false" outlineLevel="0" collapsed="false">
      <c r="A9" s="6" t="s">
        <v>81</v>
      </c>
      <c r="B9" s="16" t="n">
        <f aca="false">SUMIFS(Residual_Data!$E$5:$E$346,Residual_Data!$C$5:$C$346,A9)</f>
        <v>33272437</v>
      </c>
      <c r="C9" s="16" t="n">
        <f aca="false">SUMIFS(Residual_Data!$F$5:$F$346,Residual_Data!$C$5:$C$346,A9)</f>
        <v>114143.82</v>
      </c>
      <c r="D9" s="25" t="n">
        <f aca="false">IF(B9=0,"n/a",C9/B9*10000)</f>
        <v>34.3058189575954</v>
      </c>
      <c r="E9" s="16" t="n">
        <f aca="false">SUMIFS(Residual_Data!$I$5:$I$346,Residual_Data!$C$5:$C$346,A9)</f>
        <v>41640.1675</v>
      </c>
      <c r="F9" s="16" t="n">
        <f aca="false">C9-E9</f>
        <v>72503.6525</v>
      </c>
      <c r="G9" s="11" t="n">
        <f aca="false">IF(C9=0,"",F9/C9)</f>
        <v>0.635195602354994</v>
      </c>
      <c r="H9" s="11" t="n">
        <f aca="false">F9/$F$11</f>
        <v>0.173401211090479</v>
      </c>
    </row>
    <row r="10" customFormat="false" ht="15" hidden="false" customHeight="false" outlineLevel="0" collapsed="false">
      <c r="A10" s="6" t="s">
        <v>75</v>
      </c>
      <c r="B10" s="16" t="n">
        <f aca="false">SUMIFS(Residual_Data!$E$5:$E$346,Residual_Data!$C$5:$C$346,A10)</f>
        <v>0</v>
      </c>
      <c r="C10" s="16" t="n">
        <f aca="false">SUMIFS(Residual_Data!$F$5:$F$346,Residual_Data!$C$5:$C$346,A10)</f>
        <v>56148.7</v>
      </c>
      <c r="D10" s="25" t="str">
        <f aca="false">IF(B10=0,"n/a",C10/B10*10000)</f>
        <v>n/a</v>
      </c>
      <c r="E10" s="16" t="n">
        <f aca="false">SUMIFS(Residual_Data!$I$5:$I$346,Residual_Data!$C$5:$C$346,A10)</f>
        <v>17618.0025</v>
      </c>
      <c r="F10" s="16" t="n">
        <f aca="false">C10-E10</f>
        <v>38530.6975</v>
      </c>
      <c r="G10" s="11" t="n">
        <f aca="false">IF(C10=0,"",F10/C10)</f>
        <v>0.686225994546624</v>
      </c>
      <c r="H10" s="11" t="n">
        <f aca="false">F10/$F$11</f>
        <v>0.0921508004118949</v>
      </c>
    </row>
    <row r="11" customFormat="false" ht="15" hidden="false" customHeight="false" outlineLevel="0" collapsed="false">
      <c r="A11" s="18" t="s">
        <v>149</v>
      </c>
      <c r="B11" s="20" t="n">
        <f aca="false">SUM(B6:B10)</f>
        <v>170614848</v>
      </c>
      <c r="C11" s="20" t="n">
        <f aca="false">SUM(C6:C10)</f>
        <v>629496.61</v>
      </c>
      <c r="D11" s="26" t="n">
        <f aca="false">SUMIFS(Residual_Data!$F$5:$F$346,Residual_Data!$D$5:$D$346,"Processing Residual")/B11*10000</f>
        <v>33.6048073611975</v>
      </c>
      <c r="E11" s="20" t="n">
        <f aca="false">SUM(E6:E10)</f>
        <v>211370.0465</v>
      </c>
      <c r="F11" s="20" t="n">
        <f aca="false">SUM(F6:F10)</f>
        <v>418126.5635</v>
      </c>
      <c r="G11" s="21" t="n">
        <f aca="false">F11/C11</f>
        <v>0.664223693754284</v>
      </c>
      <c r="H11" s="21" t="n">
        <f aca="false">F11/$F$11</f>
        <v>1</v>
      </c>
    </row>
    <row r="14" customFormat="false" ht="30" hidden="false" customHeight="true" outlineLevel="0" collapsed="false">
      <c r="A14" s="9" t="s">
        <v>45</v>
      </c>
      <c r="B14" s="9" t="s">
        <v>119</v>
      </c>
      <c r="C14" s="9" t="s">
        <v>120</v>
      </c>
      <c r="D14" s="9" t="s">
        <v>213</v>
      </c>
      <c r="E14" s="9" t="s">
        <v>121</v>
      </c>
      <c r="F14" s="9" t="s">
        <v>145</v>
      </c>
      <c r="G14" s="9" t="s">
        <v>214</v>
      </c>
      <c r="H14" s="9" t="s">
        <v>215</v>
      </c>
    </row>
    <row r="15" customFormat="false" ht="15" hidden="false" customHeight="false" outlineLevel="0" collapsed="false">
      <c r="A15" s="6" t="s">
        <v>50</v>
      </c>
      <c r="B15" s="16" t="n">
        <f aca="false">SUMIFS(Residual_Data!$E$5:$E$346,Residual_Data!$G$5:$G$346,A15)</f>
        <v>30642451</v>
      </c>
      <c r="C15" s="16" t="n">
        <f aca="false">SUMIFS(Residual_Data!$F$5:$F$346,Residual_Data!$G$5:$G$346,A15)</f>
        <v>98904.93</v>
      </c>
      <c r="D15" s="25" t="n">
        <f aca="false">IF(B15=0,"n/a",SUMIFS(Residual_Data!$F$5:$F$346,Residual_Data!$G$5:$G$346,A15,Residual_Data!$D$5:$D$346,"Processing Residual")/B15*10000)</f>
        <v>29.3217993560633</v>
      </c>
      <c r="E15" s="16" t="n">
        <f aca="false">SUMIFS(Residual_Data!$I$5:$I$346,Residual_Data!$G$5:$G$346,A15)</f>
        <v>0</v>
      </c>
      <c r="F15" s="16" t="n">
        <f aca="false">C15-E15</f>
        <v>98904.93</v>
      </c>
      <c r="G15" s="11" t="n">
        <f aca="false">IF(C15=0,"",F15/C15)</f>
        <v>1</v>
      </c>
      <c r="H15" s="11" t="n">
        <f aca="false">F15/$F$11</f>
        <v>0.236543043742783</v>
      </c>
    </row>
    <row r="16" customFormat="false" ht="15" hidden="false" customHeight="false" outlineLevel="0" collapsed="false">
      <c r="A16" s="6" t="s">
        <v>52</v>
      </c>
      <c r="B16" s="16" t="n">
        <f aca="false">SUMIFS(Residual_Data!$E$5:$E$346,Residual_Data!$G$5:$G$346,A16)</f>
        <v>68791971</v>
      </c>
      <c r="C16" s="16" t="n">
        <f aca="false">SUMIFS(Residual_Data!$F$5:$F$346,Residual_Data!$G$5:$G$346,A16)</f>
        <v>250164.9</v>
      </c>
      <c r="D16" s="25" t="n">
        <f aca="false">IF(B16=0,"n/a",SUMIFS(Residual_Data!$F$5:$F$346,Residual_Data!$G$5:$G$346,A16,Residual_Data!$D$5:$D$346,"Processing Residual")/B16*10000)</f>
        <v>32.9105049192441</v>
      </c>
      <c r="E16" s="16" t="n">
        <f aca="false">SUMIFS(Residual_Data!$I$5:$I$346,Residual_Data!$G$5:$G$346,A16)</f>
        <v>100065.96</v>
      </c>
      <c r="F16" s="16" t="n">
        <f aca="false">C16-E16</f>
        <v>150098.94</v>
      </c>
      <c r="G16" s="11" t="n">
        <f aca="false">IF(C16=0,"",F16/C16)</f>
        <v>0.6</v>
      </c>
      <c r="H16" s="11" t="n">
        <f aca="false">F16/$F$11</f>
        <v>0.358979680084353</v>
      </c>
    </row>
    <row r="17" customFormat="false" ht="15" hidden="false" customHeight="false" outlineLevel="0" collapsed="false">
      <c r="A17" s="6" t="s">
        <v>54</v>
      </c>
      <c r="B17" s="16" t="n">
        <f aca="false">SUMIFS(Residual_Data!$E$5:$E$346,Residual_Data!$G$5:$G$346,A17)</f>
        <v>31986893</v>
      </c>
      <c r="C17" s="16" t="n">
        <f aca="false">SUMIFS(Residual_Data!$F$5:$F$346,Residual_Data!$G$5:$G$346,A17)</f>
        <v>107111.85</v>
      </c>
      <c r="D17" s="25" t="n">
        <f aca="false">IF(B17=0,"n/a",SUMIFS(Residual_Data!$F$5:$F$346,Residual_Data!$G$5:$G$346,A17,Residual_Data!$D$5:$D$346,"Processing Residual")/B17*10000)</f>
        <v>30.5705840201485</v>
      </c>
      <c r="E17" s="16" t="n">
        <f aca="false">SUMIFS(Residual_Data!$I$5:$I$346,Residual_Data!$G$5:$G$346,A17)</f>
        <v>38184.6755</v>
      </c>
      <c r="F17" s="16" t="n">
        <f aca="false">C17-E17</f>
        <v>68927.1745</v>
      </c>
      <c r="G17" s="11" t="n">
        <f aca="false">IF(C17=0,"",F17/C17)</f>
        <v>0.643506526121993</v>
      </c>
      <c r="H17" s="11" t="n">
        <f aca="false">F17/$F$11</f>
        <v>0.16484763350846</v>
      </c>
    </row>
    <row r="18" customFormat="false" ht="15" hidden="false" customHeight="false" outlineLevel="0" collapsed="false">
      <c r="A18" s="6" t="s">
        <v>58</v>
      </c>
      <c r="B18" s="16" t="n">
        <f aca="false">SUMIFS(Residual_Data!$E$5:$E$346,Residual_Data!$G$5:$G$346,A18)</f>
        <v>39193533</v>
      </c>
      <c r="C18" s="16" t="n">
        <f aca="false">SUMIFS(Residual_Data!$F$5:$F$346,Residual_Data!$G$5:$G$346,A18)</f>
        <v>173314.93</v>
      </c>
      <c r="D18" s="25" t="n">
        <f aca="false">IF(B18=0,"n/a",SUMIFS(Residual_Data!$F$5:$F$346,Residual_Data!$G$5:$G$346,A18,Residual_Data!$D$5:$D$346,"Processing Residual")/B18*10000)</f>
        <v>40.6483079746855</v>
      </c>
      <c r="E18" s="16" t="n">
        <f aca="false">SUMIFS(Residual_Data!$I$5:$I$346,Residual_Data!$G$5:$G$346,A18)</f>
        <v>73119.411</v>
      </c>
      <c r="F18" s="16" t="n">
        <f aca="false">C18-E18</f>
        <v>100195.519</v>
      </c>
      <c r="G18" s="11" t="n">
        <f aca="false">IF(C18=0,"",F18/C18)</f>
        <v>0.57811245113159</v>
      </c>
      <c r="H18" s="11" t="n">
        <f aca="false">F18/$F$11</f>
        <v>0.239629642664403</v>
      </c>
    </row>
    <row r="19" customFormat="false" ht="15" hidden="false" customHeight="false" outlineLevel="0" collapsed="false">
      <c r="A19" s="2" t="s">
        <v>216</v>
      </c>
    </row>
    <row r="21" customFormat="false" ht="15" hidden="false" customHeight="false" outlineLevel="0" collapsed="false">
      <c r="A21" s="3" t="s">
        <v>217</v>
      </c>
    </row>
    <row r="22" customFormat="false" ht="30" hidden="false" customHeight="true" outlineLevel="0" collapsed="false">
      <c r="A22" s="9" t="s">
        <v>116</v>
      </c>
      <c r="B22" s="9" t="s">
        <v>119</v>
      </c>
      <c r="C22" s="9" t="s">
        <v>120</v>
      </c>
      <c r="D22" s="9" t="s">
        <v>213</v>
      </c>
      <c r="E22" s="9" t="s">
        <v>121</v>
      </c>
      <c r="F22" s="9" t="s">
        <v>145</v>
      </c>
      <c r="G22" s="9" t="s">
        <v>214</v>
      </c>
      <c r="H22" s="9" t="s">
        <v>218</v>
      </c>
    </row>
    <row r="23" customFormat="false" ht="15" hidden="false" customHeight="false" outlineLevel="0" collapsed="false">
      <c r="A23" s="6" t="s">
        <v>123</v>
      </c>
      <c r="B23" s="16" t="n">
        <f aca="false">SUMIFS(Residual_Data!$E$5:$E$346,Residual_Data!$A$5:$A$346,A23)</f>
        <v>13239609</v>
      </c>
      <c r="C23" s="16" t="n">
        <f aca="false">SUMIFS(Residual_Data!$F$5:$F$346,Residual_Data!$A$5:$A$346,A23)</f>
        <v>48602.78</v>
      </c>
      <c r="D23" s="25" t="n">
        <f aca="false">SUMIFS(Residual_Data!$F$5:$F$346,Residual_Data!$A$5:$A$346,A23,Residual_Data!$D$5:$D$346,"Processing Residual")/B23*10000</f>
        <v>33.5150607544377</v>
      </c>
      <c r="E23" s="16" t="n">
        <f aca="false">SUMIFS(Residual_Data!$I$5:$I$346,Residual_Data!$A$5:$A$346,A23)</f>
        <v>16258.7205</v>
      </c>
      <c r="F23" s="16" t="n">
        <f aca="false">C23-E23</f>
        <v>32344.0595</v>
      </c>
      <c r="G23" s="11" t="n">
        <f aca="false">F23/C23</f>
        <v>0.665477561160082</v>
      </c>
      <c r="H23" s="11"/>
    </row>
    <row r="24" customFormat="false" ht="15" hidden="false" customHeight="false" outlineLevel="0" collapsed="false">
      <c r="A24" s="6" t="s">
        <v>125</v>
      </c>
      <c r="B24" s="16" t="n">
        <f aca="false">SUMIFS(Residual_Data!$E$5:$E$346,Residual_Data!$A$5:$A$346,A24)</f>
        <v>13083030</v>
      </c>
      <c r="C24" s="16" t="n">
        <f aca="false">SUMIFS(Residual_Data!$F$5:$F$346,Residual_Data!$A$5:$A$346,A24)</f>
        <v>48254.97</v>
      </c>
      <c r="D24" s="25" t="n">
        <f aca="false">SUMIFS(Residual_Data!$F$5:$F$346,Residual_Data!$A$5:$A$346,A24,Residual_Data!$D$5:$D$346,"Processing Residual")/B24*10000</f>
        <v>33.6630123144256</v>
      </c>
      <c r="E24" s="16" t="n">
        <f aca="false">SUMIFS(Residual_Data!$I$5:$I$346,Residual_Data!$A$5:$A$346,A24)</f>
        <v>16175.9805</v>
      </c>
      <c r="F24" s="16" t="n">
        <f aca="false">C24-E24</f>
        <v>32078.9895</v>
      </c>
      <c r="G24" s="11" t="n">
        <f aca="false">F24/C24</f>
        <v>0.664781047423716</v>
      </c>
      <c r="H24" s="11" t="n">
        <f aca="false">F24/F23-1</f>
        <v>-0.00819532254446886</v>
      </c>
    </row>
    <row r="25" customFormat="false" ht="15" hidden="false" customHeight="false" outlineLevel="0" collapsed="false">
      <c r="A25" s="6" t="s">
        <v>126</v>
      </c>
      <c r="B25" s="16" t="n">
        <f aca="false">SUMIFS(Residual_Data!$E$5:$E$346,Residual_Data!$A$5:$A$346,A25)</f>
        <v>13221166</v>
      </c>
      <c r="C25" s="16" t="n">
        <f aca="false">SUMIFS(Residual_Data!$F$5:$F$346,Residual_Data!$A$5:$A$346,A25)</f>
        <v>48387.25</v>
      </c>
      <c r="D25" s="25" t="n">
        <f aca="false">SUMIFS(Residual_Data!$F$5:$F$346,Residual_Data!$A$5:$A$346,A25,Residual_Data!$D$5:$D$346,"Processing Residual")/B25*10000</f>
        <v>33.434305264755</v>
      </c>
      <c r="E25" s="16" t="n">
        <f aca="false">SUMIFS(Residual_Data!$I$5:$I$346,Residual_Data!$A$5:$A$346,A25)</f>
        <v>16076.85</v>
      </c>
      <c r="F25" s="16" t="n">
        <f aca="false">C25-E25</f>
        <v>32310.4</v>
      </c>
      <c r="G25" s="11" t="n">
        <f aca="false">F25/C25</f>
        <v>0.667746152137185</v>
      </c>
      <c r="H25" s="11" t="n">
        <f aca="false">F25/F24-1</f>
        <v>0.00721377149364377</v>
      </c>
    </row>
    <row r="26" customFormat="false" ht="15" hidden="false" customHeight="false" outlineLevel="0" collapsed="false">
      <c r="A26" s="6" t="s">
        <v>127</v>
      </c>
      <c r="B26" s="16" t="n">
        <f aca="false">SUMIFS(Residual_Data!$E$5:$E$346,Residual_Data!$A$5:$A$346,A26)</f>
        <v>13306098</v>
      </c>
      <c r="C26" s="16" t="n">
        <f aca="false">SUMIFS(Residual_Data!$F$5:$F$346,Residual_Data!$A$5:$A$346,A26)</f>
        <v>48926.43</v>
      </c>
      <c r="D26" s="25" t="n">
        <f aca="false">SUMIFS(Residual_Data!$F$5:$F$346,Residual_Data!$A$5:$A$346,A26,Residual_Data!$D$5:$D$346,"Processing Residual")/B26*10000</f>
        <v>33.6385092008191</v>
      </c>
      <c r="E26" s="16" t="n">
        <f aca="false">SUMIFS(Residual_Data!$I$5:$I$346,Residual_Data!$A$5:$A$346,A26)</f>
        <v>16373.9335</v>
      </c>
      <c r="F26" s="16" t="n">
        <f aca="false">C26-E26</f>
        <v>32552.4965</v>
      </c>
      <c r="G26" s="11" t="n">
        <f aca="false">F26/C26</f>
        <v>0.665335617170515</v>
      </c>
      <c r="H26" s="11" t="n">
        <f aca="false">F26/F25-1</f>
        <v>0.00749283512429444</v>
      </c>
    </row>
    <row r="27" customFormat="false" ht="15" hidden="false" customHeight="false" outlineLevel="0" collapsed="false">
      <c r="A27" s="6" t="s">
        <v>128</v>
      </c>
      <c r="B27" s="16" t="n">
        <f aca="false">SUMIFS(Residual_Data!$E$5:$E$346,Residual_Data!$A$5:$A$346,A27)</f>
        <v>13434939</v>
      </c>
      <c r="C27" s="16" t="n">
        <f aca="false">SUMIFS(Residual_Data!$F$5:$F$346,Residual_Data!$A$5:$A$346,A27)</f>
        <v>49392.41</v>
      </c>
      <c r="D27" s="25" t="n">
        <f aca="false">SUMIFS(Residual_Data!$F$5:$F$346,Residual_Data!$A$5:$A$346,A27,Residual_Data!$D$5:$D$346,"Processing Residual")/B27*10000</f>
        <v>33.5835987048397</v>
      </c>
      <c r="E27" s="16" t="n">
        <f aca="false">SUMIFS(Residual_Data!$I$5:$I$346,Residual_Data!$A$5:$A$346,A27)</f>
        <v>16447.73</v>
      </c>
      <c r="F27" s="16" t="n">
        <f aca="false">C27-E27</f>
        <v>32944.68</v>
      </c>
      <c r="G27" s="11" t="n">
        <f aca="false">F27/C27</f>
        <v>0.666998836460906</v>
      </c>
      <c r="H27" s="11" t="n">
        <f aca="false">F27/F26-1</f>
        <v>0.0120477242045016</v>
      </c>
    </row>
    <row r="28" customFormat="false" ht="15" hidden="false" customHeight="false" outlineLevel="0" collapsed="false">
      <c r="A28" s="6" t="s">
        <v>129</v>
      </c>
      <c r="B28" s="16" t="n">
        <f aca="false">SUMIFS(Residual_Data!$E$5:$E$346,Residual_Data!$A$5:$A$346,A28)</f>
        <v>13797434</v>
      </c>
      <c r="C28" s="16" t="n">
        <f aca="false">SUMIFS(Residual_Data!$F$5:$F$346,Residual_Data!$A$5:$A$346,A28)</f>
        <v>50761.21</v>
      </c>
      <c r="D28" s="25" t="n">
        <f aca="false">SUMIFS(Residual_Data!$F$5:$F$346,Residual_Data!$A$5:$A$346,A28,Residual_Data!$D$5:$D$346,"Processing Residual")/B28*10000</f>
        <v>33.6349570507096</v>
      </c>
      <c r="E28" s="16" t="n">
        <f aca="false">SUMIFS(Residual_Data!$I$5:$I$346,Residual_Data!$A$5:$A$346,A28)</f>
        <v>16981.8665</v>
      </c>
      <c r="F28" s="16" t="n">
        <f aca="false">C28-E28</f>
        <v>33779.3435</v>
      </c>
      <c r="G28" s="11" t="n">
        <f aca="false">F28/C28</f>
        <v>0.665455837242651</v>
      </c>
      <c r="H28" s="11" t="n">
        <f aca="false">F28/F27-1</f>
        <v>0.025335304516541</v>
      </c>
    </row>
    <row r="29" customFormat="false" ht="15" hidden="false" customHeight="false" outlineLevel="0" collapsed="false">
      <c r="A29" s="6" t="s">
        <v>130</v>
      </c>
      <c r="B29" s="16" t="n">
        <f aca="false">SUMIFS(Residual_Data!$E$5:$E$346,Residual_Data!$A$5:$A$346,A29)</f>
        <v>14031788</v>
      </c>
      <c r="C29" s="16" t="n">
        <f aca="false">SUMIFS(Residual_Data!$F$5:$F$346,Residual_Data!$A$5:$A$346,A29)</f>
        <v>51509.44</v>
      </c>
      <c r="D29" s="25" t="n">
        <f aca="false">SUMIFS(Residual_Data!$F$5:$F$346,Residual_Data!$A$5:$A$346,A29,Residual_Data!$D$5:$D$346,"Processing Residual")/B29*10000</f>
        <v>33.5491385702236</v>
      </c>
      <c r="E29" s="16" t="n">
        <f aca="false">SUMIFS(Residual_Data!$I$5:$I$346,Residual_Data!$A$5:$A$346,A29)</f>
        <v>17228.362</v>
      </c>
      <c r="F29" s="16" t="n">
        <f aca="false">C29-E29</f>
        <v>34281.078</v>
      </c>
      <c r="G29" s="11" t="n">
        <f aca="false">F29/C29</f>
        <v>0.665530007703442</v>
      </c>
      <c r="H29" s="11" t="n">
        <f aca="false">F29/F28-1</f>
        <v>0.014853293404</v>
      </c>
    </row>
    <row r="30" customFormat="false" ht="15" hidden="false" customHeight="false" outlineLevel="0" collapsed="false">
      <c r="A30" s="6" t="s">
        <v>131</v>
      </c>
      <c r="B30" s="16" t="n">
        <f aca="false">SUMIFS(Residual_Data!$E$5:$E$346,Residual_Data!$A$5:$A$346,A30)</f>
        <v>14006688</v>
      </c>
      <c r="C30" s="16" t="n">
        <f aca="false">SUMIFS(Residual_Data!$F$5:$F$346,Residual_Data!$A$5:$A$346,A30)</f>
        <v>51485.36</v>
      </c>
      <c r="D30" s="25" t="n">
        <f aca="false">SUMIFS(Residual_Data!$F$5:$F$346,Residual_Data!$A$5:$A$346,A30,Residual_Data!$D$5:$D$346,"Processing Residual")/B30*10000</f>
        <v>33.6031687148311</v>
      </c>
      <c r="E30" s="16" t="n">
        <f aca="false">SUMIFS(Residual_Data!$I$5:$I$346,Residual_Data!$A$5:$A$346,A30)</f>
        <v>17228.768</v>
      </c>
      <c r="F30" s="16" t="n">
        <f aca="false">C30-E30</f>
        <v>34256.592</v>
      </c>
      <c r="G30" s="11" t="n">
        <f aca="false">F30/C30</f>
        <v>0.665365688420942</v>
      </c>
      <c r="H30" s="11" t="n">
        <f aca="false">F30/F29-1</f>
        <v>-0.000714271587375359</v>
      </c>
    </row>
    <row r="31" customFormat="false" ht="15" hidden="false" customHeight="false" outlineLevel="0" collapsed="false">
      <c r="A31" s="6" t="s">
        <v>132</v>
      </c>
      <c r="B31" s="16" t="n">
        <f aca="false">SUMIFS(Residual_Data!$E$5:$E$346,Residual_Data!$A$5:$A$346,A31)</f>
        <v>14106683</v>
      </c>
      <c r="C31" s="16" t="n">
        <f aca="false">SUMIFS(Residual_Data!$F$5:$F$346,Residual_Data!$A$5:$A$346,A31)</f>
        <v>51737.28</v>
      </c>
      <c r="D31" s="25" t="n">
        <f aca="false">SUMIFS(Residual_Data!$F$5:$F$346,Residual_Data!$A$5:$A$346,A31,Residual_Data!$D$5:$D$346,"Processing Residual")/B31*10000</f>
        <v>33.5064096924841</v>
      </c>
      <c r="E31" s="16" t="n">
        <f aca="false">SUMIFS(Residual_Data!$I$5:$I$346,Residual_Data!$A$5:$A$346,A31)</f>
        <v>17234.6345</v>
      </c>
      <c r="F31" s="16" t="n">
        <f aca="false">C31-E31</f>
        <v>34502.6455</v>
      </c>
      <c r="G31" s="11" t="n">
        <f aca="false">F31/C31</f>
        <v>0.666881705029719</v>
      </c>
      <c r="H31" s="11" t="n">
        <f aca="false">F31/F30-1</f>
        <v>0.00718266136923362</v>
      </c>
    </row>
    <row r="32" customFormat="false" ht="15" hidden="false" customHeight="false" outlineLevel="0" collapsed="false">
      <c r="A32" s="6" t="s">
        <v>133</v>
      </c>
      <c r="B32" s="16" t="n">
        <f aca="false">SUMIFS(Residual_Data!$E$5:$E$346,Residual_Data!$A$5:$A$346,A32)</f>
        <v>15480214</v>
      </c>
      <c r="C32" s="16" t="n">
        <f aca="false">SUMIFS(Residual_Data!$F$5:$F$346,Residual_Data!$A$5:$A$346,A32)</f>
        <v>57306.98</v>
      </c>
      <c r="D32" s="25" t="n">
        <f aca="false">SUMIFS(Residual_Data!$F$5:$F$346,Residual_Data!$A$5:$A$346,A32,Residual_Data!$D$5:$D$346,"Processing Residual")/B32*10000</f>
        <v>33.6439018220291</v>
      </c>
      <c r="E32" s="16" t="n">
        <f aca="false">SUMIFS(Residual_Data!$I$5:$I$346,Residual_Data!$A$5:$A$346,A32)</f>
        <v>19240.7365</v>
      </c>
      <c r="F32" s="16" t="n">
        <f aca="false">C32-E32</f>
        <v>38066.2435</v>
      </c>
      <c r="G32" s="11" t="n">
        <f aca="false">F32/C32</f>
        <v>0.664251431501014</v>
      </c>
      <c r="H32" s="11" t="n">
        <f aca="false">F32/F31-1</f>
        <v>0.103284775655826</v>
      </c>
    </row>
    <row r="33" customFormat="false" ht="15" hidden="false" customHeight="false" outlineLevel="0" collapsed="false">
      <c r="A33" s="6" t="s">
        <v>134</v>
      </c>
      <c r="B33" s="16" t="n">
        <f aca="false">SUMIFS(Residual_Data!$E$5:$E$346,Residual_Data!$A$5:$A$346,A33)</f>
        <v>16734415</v>
      </c>
      <c r="C33" s="16" t="n">
        <f aca="false">SUMIFS(Residual_Data!$F$5:$F$346,Residual_Data!$A$5:$A$346,A33)</f>
        <v>62558.23</v>
      </c>
      <c r="D33" s="25" t="n">
        <f aca="false">SUMIFS(Residual_Data!$F$5:$F$346,Residual_Data!$A$5:$A$346,A33,Residual_Data!$D$5:$D$346,"Processing Residual")/B33*10000</f>
        <v>33.8833655075484</v>
      </c>
      <c r="E33" s="16" t="n">
        <f aca="false">SUMIFS(Residual_Data!$I$5:$I$346,Residual_Data!$A$5:$A$346,A33)</f>
        <v>21121.397</v>
      </c>
      <c r="F33" s="16" t="n">
        <f aca="false">C33-E33</f>
        <v>41436.833</v>
      </c>
      <c r="G33" s="11" t="n">
        <f aca="false">F33/C33</f>
        <v>0.662372209060263</v>
      </c>
      <c r="H33" s="11" t="n">
        <f aca="false">F33/F32-1</f>
        <v>0.0885453669732343</v>
      </c>
    </row>
    <row r="34" customFormat="false" ht="15" hidden="false" customHeight="false" outlineLevel="0" collapsed="false">
      <c r="A34" s="6" t="s">
        <v>135</v>
      </c>
      <c r="B34" s="16" t="n">
        <f aca="false">SUMIFS(Residual_Data!$E$5:$E$346,Residual_Data!$A$5:$A$346,A34)</f>
        <v>16172784</v>
      </c>
      <c r="C34" s="16" t="n">
        <f aca="false">SUMIFS(Residual_Data!$F$5:$F$346,Residual_Data!$A$5:$A$346,A34)</f>
        <v>60574.27</v>
      </c>
      <c r="D34" s="25" t="n">
        <f aca="false">SUMIFS(Residual_Data!$F$5:$F$346,Residual_Data!$A$5:$A$346,A34,Residual_Data!$D$5:$D$346,"Processing Residual")/B34*10000</f>
        <v>33.5446389440433</v>
      </c>
      <c r="E34" s="16" t="n">
        <f aca="false">SUMIFS(Residual_Data!$I$5:$I$346,Residual_Data!$A$5:$A$346,A34)</f>
        <v>21001.0675</v>
      </c>
      <c r="F34" s="16" t="n">
        <f aca="false">C34-E34</f>
        <v>39573.2025</v>
      </c>
      <c r="G34" s="11" t="n">
        <f aca="false">F34/C34</f>
        <v>0.653300526774817</v>
      </c>
      <c r="H34" s="11" t="n">
        <f aca="false">F34/F33-1</f>
        <v>-0.0449752156493234</v>
      </c>
    </row>
    <row r="35" customFormat="false" ht="15" hidden="false" customHeight="false" outlineLevel="0" collapsed="false">
      <c r="A35" s="2" t="s">
        <v>219</v>
      </c>
      <c r="C35" s="3" t="str">
        <f aca="false">IF(ABS(SUM(C23:C34)-C11)&lt;0.01,"✓ Ties","CHECK")</f>
        <v>✓ Ties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2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220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221</v>
      </c>
      <c r="D4" s="15" t="n">
        <v>2</v>
      </c>
    </row>
    <row r="5" customFormat="false" ht="15" hidden="false" customHeight="false" outlineLevel="0" collapsed="false">
      <c r="A5" s="5" t="s">
        <v>222</v>
      </c>
      <c r="D5" s="3" t="str">
        <f aca="false">CHOOSE(D4,"Downside","Base","Upside")</f>
        <v>Base</v>
      </c>
    </row>
    <row r="7" customFormat="false" ht="30" hidden="false" customHeight="true" outlineLevel="0" collapsed="false">
      <c r="A7" s="9" t="s">
        <v>223</v>
      </c>
      <c r="B7" s="9"/>
      <c r="C7" s="9"/>
      <c r="D7" s="9" t="s">
        <v>224</v>
      </c>
      <c r="E7" s="9" t="s">
        <v>225</v>
      </c>
      <c r="F7" s="9" t="s">
        <v>226</v>
      </c>
      <c r="G7" s="9" t="s">
        <v>227</v>
      </c>
      <c r="H7" s="9" t="s">
        <v>228</v>
      </c>
    </row>
    <row r="8" customFormat="false" ht="15" hidden="false" customHeight="false" outlineLevel="0" collapsed="false">
      <c r="A8" s="5" t="s">
        <v>229</v>
      </c>
      <c r="D8" s="27" t="n">
        <v>0</v>
      </c>
      <c r="E8" s="27" t="n">
        <v>0.012</v>
      </c>
      <c r="F8" s="27" t="n">
        <v>0.025</v>
      </c>
      <c r="G8" s="28" t="n">
        <f aca="false">CHOOSE($D$4,D8,E8,F8)</f>
        <v>0.012</v>
      </c>
      <c r="H8" s="2" t="s">
        <v>230</v>
      </c>
    </row>
    <row r="9" customFormat="false" ht="15" hidden="false" customHeight="false" outlineLevel="0" collapsed="false">
      <c r="A9" s="5" t="s">
        <v>231</v>
      </c>
      <c r="D9" s="27" t="n">
        <v>0.02</v>
      </c>
      <c r="E9" s="27" t="n">
        <v>0.01</v>
      </c>
      <c r="F9" s="27" t="n">
        <v>0.005</v>
      </c>
      <c r="G9" s="28" t="n">
        <f aca="false">CHOOSE($D$4,D9,E9,F9)</f>
        <v>0.01</v>
      </c>
      <c r="H9" s="2" t="s">
        <v>232</v>
      </c>
    </row>
    <row r="10" customFormat="false" ht="15" hidden="false" customHeight="false" outlineLevel="0" collapsed="false">
      <c r="A10" s="5" t="s">
        <v>233</v>
      </c>
      <c r="D10" s="27" t="n">
        <v>0</v>
      </c>
      <c r="E10" s="27" t="n">
        <v>0.01</v>
      </c>
      <c r="F10" s="27" t="n">
        <v>0.02</v>
      </c>
      <c r="G10" s="28" t="n">
        <f aca="false">CHOOSE($D$4,D10,E10,F10)</f>
        <v>0.01</v>
      </c>
      <c r="H10" s="2" t="s">
        <v>234</v>
      </c>
    </row>
    <row r="11" customFormat="false" ht="15" hidden="false" customHeight="false" outlineLevel="0" collapsed="false">
      <c r="A11" s="5" t="s">
        <v>235</v>
      </c>
      <c r="G11" s="29" t="n">
        <f aca="false">Rev_Share_Calc!E28</f>
        <v>16172784</v>
      </c>
      <c r="H11" s="2" t="s">
        <v>236</v>
      </c>
    </row>
    <row r="12" customFormat="false" ht="15" hidden="false" customHeight="false" outlineLevel="0" collapsed="false">
      <c r="A12" s="5" t="s">
        <v>237</v>
      </c>
      <c r="G12" s="30" t="n">
        <f aca="false">Profitability!D11</f>
        <v>33.6048073611975</v>
      </c>
      <c r="H12" s="2" t="s">
        <v>238</v>
      </c>
    </row>
    <row r="13" customFormat="false" ht="15" hidden="false" customHeight="false" outlineLevel="0" collapsed="false">
      <c r="A13" s="5" t="s">
        <v>239</v>
      </c>
      <c r="G13" s="29" t="n">
        <f aca="false">Rev_Share_Calc!G28</f>
        <v>6323.25</v>
      </c>
      <c r="H13" s="2" t="s">
        <v>240</v>
      </c>
    </row>
    <row r="14" customFormat="false" ht="15" hidden="false" customHeight="false" outlineLevel="0" collapsed="false">
      <c r="A14" s="5" t="s">
        <v>241</v>
      </c>
      <c r="G14" s="17" t="n">
        <f aca="false">Profitability!E11/Profitability!C11</f>
        <v>0.335776306245716</v>
      </c>
      <c r="H14" s="2" t="s">
        <v>242</v>
      </c>
    </row>
    <row r="15" customFormat="false" ht="15" hidden="false" customHeight="false" outlineLevel="0" collapsed="false">
      <c r="A15" s="5" t="s">
        <v>243</v>
      </c>
      <c r="G15" s="29" t="n">
        <f aca="false">Reconciliation!E25</f>
        <v>2243.42</v>
      </c>
      <c r="H15" s="2" t="s">
        <v>244</v>
      </c>
    </row>
    <row r="17" customFormat="false" ht="30" hidden="false" customHeight="true" outlineLevel="0" collapsed="false">
      <c r="A17" s="9" t="s">
        <v>245</v>
      </c>
      <c r="B17" s="9" t="s">
        <v>246</v>
      </c>
      <c r="C17" s="9" t="s">
        <v>247</v>
      </c>
      <c r="D17" s="9" t="s">
        <v>248</v>
      </c>
      <c r="E17" s="9" t="s">
        <v>249</v>
      </c>
      <c r="F17" s="9" t="s">
        <v>250</v>
      </c>
      <c r="G17" s="9" t="s">
        <v>251</v>
      </c>
      <c r="H17" s="9" t="s">
        <v>252</v>
      </c>
      <c r="I17" s="9" t="s">
        <v>253</v>
      </c>
      <c r="J17" s="9" t="s">
        <v>254</v>
      </c>
      <c r="K17" s="9" t="s">
        <v>255</v>
      </c>
      <c r="L17" s="9" t="s">
        <v>256</v>
      </c>
      <c r="M17" s="9" t="s">
        <v>257</v>
      </c>
      <c r="N17" s="9" t="s">
        <v>258</v>
      </c>
    </row>
    <row r="18" customFormat="false" ht="15" hidden="false" customHeight="false" outlineLevel="0" collapsed="false">
      <c r="A18" s="5" t="s">
        <v>259</v>
      </c>
      <c r="B18" s="16" t="n">
        <f aca="false">$G$11*(1+$G$8)*(1-$G$9)</f>
        <v>16203188.83392</v>
      </c>
      <c r="C18" s="16" t="n">
        <f aca="false">B18*(1+$G$8)*(1-$G$9)</f>
        <v>16233650.8289278</v>
      </c>
      <c r="D18" s="16" t="n">
        <f aca="false">C18*(1+$G$8)*(1-$G$9)</f>
        <v>16264170.0924862</v>
      </c>
      <c r="E18" s="16" t="n">
        <f aca="false">D18*(1+$G$8)*(1-$G$9)</f>
        <v>16294746.73226</v>
      </c>
      <c r="F18" s="16" t="n">
        <f aca="false">E18*(1+$G$8)*(1-$G$9)</f>
        <v>16325380.8561167</v>
      </c>
      <c r="G18" s="16" t="n">
        <f aca="false">F18*(1+$G$8)*(1-$G$9)</f>
        <v>16356072.5721262</v>
      </c>
      <c r="H18" s="16" t="n">
        <f aca="false">G18*(1+$G$8)*(1-$G$9)</f>
        <v>16386821.9885618</v>
      </c>
      <c r="I18" s="16" t="n">
        <f aca="false">H18*(1+$G$8)*(1-$G$9)</f>
        <v>16417629.2139003</v>
      </c>
      <c r="J18" s="16" t="n">
        <f aca="false">I18*(1+$G$8)*(1-$G$9)</f>
        <v>16448494.3568224</v>
      </c>
      <c r="K18" s="16" t="n">
        <f aca="false">J18*(1+$G$8)*(1-$G$9)</f>
        <v>16479417.5262132</v>
      </c>
      <c r="L18" s="16" t="n">
        <f aca="false">K18*(1+$G$8)*(1-$G$9)</f>
        <v>16510398.8311625</v>
      </c>
      <c r="M18" s="16" t="n">
        <f aca="false">L18*(1+$G$8)*(1-$G$9)</f>
        <v>16541438.3809651</v>
      </c>
      <c r="N18" s="31" t="n">
        <f aca="false">SUM(B18:M18)</f>
        <v>196461410.213462</v>
      </c>
    </row>
    <row r="19" customFormat="false" ht="15" hidden="false" customHeight="false" outlineLevel="0" collapsed="false">
      <c r="A19" s="5" t="s">
        <v>141</v>
      </c>
      <c r="B19" s="16" t="n">
        <f aca="false">B18*$G$12/10000</f>
        <v>54450.5039400989</v>
      </c>
      <c r="C19" s="16" t="n">
        <f aca="false">C18*$G$12/10000</f>
        <v>54552.8708875062</v>
      </c>
      <c r="D19" s="16" t="n">
        <f aca="false">D18*$G$12/10000</f>
        <v>54655.4302847748</v>
      </c>
      <c r="E19" s="16" t="n">
        <f aca="false">E18*$G$12/10000</f>
        <v>54758.1824937101</v>
      </c>
      <c r="F19" s="16" t="n">
        <f aca="false">F18*$G$12/10000</f>
        <v>54861.1278767983</v>
      </c>
      <c r="G19" s="16" t="n">
        <f aca="false">G18*$G$12/10000</f>
        <v>54964.2667972067</v>
      </c>
      <c r="H19" s="16" t="n">
        <f aca="false">H18*$G$12/10000</f>
        <v>55067.5996187854</v>
      </c>
      <c r="I19" s="16" t="n">
        <f aca="false">I18*$G$12/10000</f>
        <v>55171.1267060688</v>
      </c>
      <c r="J19" s="16" t="n">
        <f aca="false">J18*$G$12/10000</f>
        <v>55274.8484242762</v>
      </c>
      <c r="K19" s="16" t="n">
        <f aca="false">K18*$G$12/10000</f>
        <v>55378.7651393138</v>
      </c>
      <c r="L19" s="16" t="n">
        <f aca="false">L18*$G$12/10000</f>
        <v>55482.8772177757</v>
      </c>
      <c r="M19" s="16" t="n">
        <f aca="false">M18*$G$12/10000</f>
        <v>55587.1850269451</v>
      </c>
      <c r="N19" s="31" t="n">
        <f aca="false">SUM(B19:M19)</f>
        <v>660204.78441326</v>
      </c>
    </row>
    <row r="20" customFormat="false" ht="15" hidden="false" customHeight="false" outlineLevel="0" collapsed="false">
      <c r="A20" s="5" t="s">
        <v>260</v>
      </c>
      <c r="B20" s="16" t="n">
        <f aca="false">$G$13*(1+$G$10)</f>
        <v>6386.4825</v>
      </c>
      <c r="C20" s="16" t="n">
        <f aca="false">B20*(1+$G$10)</f>
        <v>6450.347325</v>
      </c>
      <c r="D20" s="16" t="n">
        <f aca="false">C20*(1+$G$10)</f>
        <v>6514.85079825</v>
      </c>
      <c r="E20" s="16" t="n">
        <f aca="false">D20*(1+$G$10)</f>
        <v>6579.9993062325</v>
      </c>
      <c r="F20" s="16" t="n">
        <f aca="false">E20*(1+$G$10)</f>
        <v>6645.79929929483</v>
      </c>
      <c r="G20" s="16" t="n">
        <f aca="false">F20*(1+$G$10)</f>
        <v>6712.25729228777</v>
      </c>
      <c r="H20" s="16" t="n">
        <f aca="false">G20*(1+$G$10)</f>
        <v>6779.37986521065</v>
      </c>
      <c r="I20" s="16" t="n">
        <f aca="false">H20*(1+$G$10)</f>
        <v>6847.17366386276</v>
      </c>
      <c r="J20" s="16" t="n">
        <f aca="false">I20*(1+$G$10)</f>
        <v>6915.64540050139</v>
      </c>
      <c r="K20" s="16" t="n">
        <f aca="false">J20*(1+$G$10)</f>
        <v>6984.8018545064</v>
      </c>
      <c r="L20" s="16" t="n">
        <f aca="false">K20*(1+$G$10)</f>
        <v>7054.64987305146</v>
      </c>
      <c r="M20" s="16" t="n">
        <f aca="false">L20*(1+$G$10)</f>
        <v>7125.19637178198</v>
      </c>
      <c r="N20" s="31" t="n">
        <f aca="false">SUM(B20:M20)</f>
        <v>80996.5835499797</v>
      </c>
    </row>
    <row r="21" customFormat="false" ht="15" hidden="false" customHeight="false" outlineLevel="0" collapsed="false">
      <c r="A21" s="5" t="s">
        <v>261</v>
      </c>
      <c r="B21" s="16" t="n">
        <f aca="false">$G$15</f>
        <v>2243.42</v>
      </c>
      <c r="C21" s="16" t="n">
        <v>0</v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  <c r="N21" s="31" t="n">
        <f aca="false">SUM(B21:M21)</f>
        <v>2243.42</v>
      </c>
    </row>
    <row r="22" customFormat="false" ht="15" hidden="false" customHeight="false" outlineLevel="0" collapsed="false">
      <c r="A22" s="3" t="s">
        <v>120</v>
      </c>
      <c r="B22" s="32" t="n">
        <f aca="false">SUM(B19:B21)</f>
        <v>63080.4064400989</v>
      </c>
      <c r="C22" s="32" t="n">
        <f aca="false">SUM(C19:C21)</f>
        <v>61003.2182125062</v>
      </c>
      <c r="D22" s="32" t="n">
        <f aca="false">SUM(D19:D21)</f>
        <v>61170.2810830248</v>
      </c>
      <c r="E22" s="32" t="n">
        <f aca="false">SUM(E19:E21)</f>
        <v>61338.1817999426</v>
      </c>
      <c r="F22" s="32" t="n">
        <f aca="false">SUM(F19:F21)</f>
        <v>61506.9271760931</v>
      </c>
      <c r="G22" s="32" t="n">
        <f aca="false">SUM(G19:G21)</f>
        <v>61676.5240894945</v>
      </c>
      <c r="H22" s="32" t="n">
        <f aca="false">SUM(H19:H21)</f>
        <v>61846.9794839961</v>
      </c>
      <c r="I22" s="32" t="n">
        <f aca="false">SUM(I19:I21)</f>
        <v>62018.3003699315</v>
      </c>
      <c r="J22" s="32" t="n">
        <f aca="false">SUM(J19:J21)</f>
        <v>62190.4938247776</v>
      </c>
      <c r="K22" s="32" t="n">
        <f aca="false">SUM(K19:K21)</f>
        <v>62363.5669938202</v>
      </c>
      <c r="L22" s="32" t="n">
        <f aca="false">SUM(L19:L21)</f>
        <v>62537.5270908272</v>
      </c>
      <c r="M22" s="32" t="n">
        <f aca="false">SUM(M19:M21)</f>
        <v>62712.3813987271</v>
      </c>
      <c r="N22" s="31" t="n">
        <f aca="false">SUM(B22:M22)</f>
        <v>743444.78796324</v>
      </c>
    </row>
    <row r="23" customFormat="false" ht="15" hidden="false" customHeight="false" outlineLevel="0" collapsed="false">
      <c r="A23" s="5" t="s">
        <v>121</v>
      </c>
      <c r="B23" s="16" t="n">
        <f aca="false">B22*$G$14</f>
        <v>21180.9058709349</v>
      </c>
      <c r="C23" s="16" t="n">
        <f aca="false">C22*$G$14</f>
        <v>20483.4352804967</v>
      </c>
      <c r="D23" s="16" t="n">
        <f aca="false">D22*$G$14</f>
        <v>20539.5310340702</v>
      </c>
      <c r="E23" s="16" t="n">
        <f aca="false">E22*$G$14</f>
        <v>20595.9081166129</v>
      </c>
      <c r="F23" s="16" t="n">
        <f aca="false">F22*$G$14</f>
        <v>20652.5688157128</v>
      </c>
      <c r="G23" s="16" t="n">
        <f aca="false">G22*$G$14</f>
        <v>20709.5154408454</v>
      </c>
      <c r="H23" s="16" t="n">
        <f aca="false">H22*$G$14</f>
        <v>20766.7503235908</v>
      </c>
      <c r="I23" s="16" t="n">
        <f aca="false">I22*$G$14</f>
        <v>20824.2758178529</v>
      </c>
      <c r="J23" s="16" t="n">
        <f aca="false">J22*$G$14</f>
        <v>20882.0943000808</v>
      </c>
      <c r="K23" s="16" t="n">
        <f aca="false">K22*$G$14</f>
        <v>20940.2081694922</v>
      </c>
      <c r="L23" s="16" t="n">
        <f aca="false">L22*$G$14</f>
        <v>20998.6198482993</v>
      </c>
      <c r="M23" s="16" t="n">
        <f aca="false">M22*$G$14</f>
        <v>21057.3317819371</v>
      </c>
      <c r="N23" s="31" t="n">
        <f aca="false">SUM(B23:M23)</f>
        <v>249631.144799926</v>
      </c>
    </row>
    <row r="24" customFormat="false" ht="15" hidden="false" customHeight="false" outlineLevel="0" collapsed="false">
      <c r="A24" s="3" t="s">
        <v>145</v>
      </c>
      <c r="B24" s="32" t="n">
        <f aca="false">B22-B23</f>
        <v>41899.500569164</v>
      </c>
      <c r="C24" s="32" t="n">
        <f aca="false">C22-C23</f>
        <v>40519.7829320095</v>
      </c>
      <c r="D24" s="32" t="n">
        <f aca="false">D22-D23</f>
        <v>40630.7500489545</v>
      </c>
      <c r="E24" s="32" t="n">
        <f aca="false">E22-E23</f>
        <v>40742.2736833297</v>
      </c>
      <c r="F24" s="32" t="n">
        <f aca="false">F22-F23</f>
        <v>40854.3583603803</v>
      </c>
      <c r="G24" s="32" t="n">
        <f aca="false">G22-G23</f>
        <v>40967.0086486491</v>
      </c>
      <c r="H24" s="32" t="n">
        <f aca="false">H22-H23</f>
        <v>41080.2291604053</v>
      </c>
      <c r="I24" s="32" t="n">
        <f aca="false">I22-I23</f>
        <v>41194.0245520786</v>
      </c>
      <c r="J24" s="32" t="n">
        <f aca="false">J22-J23</f>
        <v>41308.3995246967</v>
      </c>
      <c r="K24" s="32" t="n">
        <f aca="false">K22-K23</f>
        <v>41423.358824328</v>
      </c>
      <c r="L24" s="32" t="n">
        <f aca="false">L22-L23</f>
        <v>41538.9072425278</v>
      </c>
      <c r="M24" s="32" t="n">
        <f aca="false">M22-M23</f>
        <v>41655.04961679</v>
      </c>
      <c r="N24" s="31" t="n">
        <f aca="false">SUM(B24:M24)</f>
        <v>493813.643163314</v>
      </c>
    </row>
    <row r="26" customFormat="false" ht="15" hidden="false" customHeight="false" outlineLevel="0" collapsed="false">
      <c r="A26" s="3" t="s">
        <v>262</v>
      </c>
      <c r="N26" s="28" t="n">
        <f aca="false">N24/Profitability!F11-1</f>
        <v>0.181014760291147</v>
      </c>
    </row>
    <row r="27" customFormat="false" ht="15" hidden="false" customHeight="false" outlineLevel="0" collapsed="false">
      <c r="A27" s="2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2"/>
    <col collapsed="false" customWidth="true" hidden="false" outlineLevel="0" max="15" min="4" style="0" width="10"/>
    <col collapsed="false" customWidth="true" hidden="false" outlineLevel="0" max="16" min="16" style="0" width="24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16"/>
    <col collapsed="false" customWidth="true" hidden="false" outlineLevel="0" max="20" min="20" style="0" width="13"/>
    <col collapsed="false" customWidth="true" hidden="false" outlineLevel="0" max="21" min="21" style="0" width="12"/>
    <col collapsed="false" customWidth="true" hidden="false" outlineLevel="0" max="22" min="22" style="0" width="13"/>
    <col collapsed="false" customWidth="true" hidden="false" outlineLevel="0" max="23" min="23" style="0" width="34"/>
  </cols>
  <sheetData>
    <row r="1" customFormat="false" ht="17.35" hidden="false" customHeight="false" outlineLevel="0" collapsed="false">
      <c r="A1" s="1" t="s">
        <v>264</v>
      </c>
    </row>
    <row r="2" customFormat="false" ht="15" hidden="false" customHeight="false" outlineLevel="0" collapsed="false">
      <c r="A2" s="2" t="s">
        <v>265</v>
      </c>
    </row>
    <row r="4" customFormat="false" ht="30" hidden="false" customHeight="true" outlineLevel="0" collapsed="false">
      <c r="A4" s="9" t="s">
        <v>266</v>
      </c>
      <c r="B4" s="9" t="s">
        <v>267</v>
      </c>
      <c r="C4" s="9" t="s">
        <v>2</v>
      </c>
      <c r="D4" s="9" t="s">
        <v>268</v>
      </c>
      <c r="E4" s="9" t="s">
        <v>269</v>
      </c>
      <c r="F4" s="9" t="s">
        <v>270</v>
      </c>
      <c r="G4" s="9" t="s">
        <v>175</v>
      </c>
      <c r="H4" s="9" t="s">
        <v>271</v>
      </c>
      <c r="I4" s="9" t="s">
        <v>272</v>
      </c>
      <c r="J4" s="9" t="s">
        <v>185</v>
      </c>
      <c r="K4" s="9" t="s">
        <v>273</v>
      </c>
      <c r="L4" s="9" t="s">
        <v>274</v>
      </c>
      <c r="M4" s="9" t="s">
        <v>275</v>
      </c>
      <c r="N4" s="9" t="s">
        <v>276</v>
      </c>
      <c r="O4" s="9" t="s">
        <v>277</v>
      </c>
      <c r="P4" s="9" t="s">
        <v>278</v>
      </c>
      <c r="Q4" s="9" t="s">
        <v>279</v>
      </c>
      <c r="R4" s="9" t="s">
        <v>280</v>
      </c>
      <c r="S4" s="9" t="s">
        <v>281</v>
      </c>
      <c r="T4" s="9" t="s">
        <v>282</v>
      </c>
      <c r="U4" s="9" t="s">
        <v>283</v>
      </c>
      <c r="V4" s="9" t="s">
        <v>284</v>
      </c>
      <c r="W4" s="9" t="s">
        <v>285</v>
      </c>
    </row>
    <row r="5" customFormat="false" ht="23.85" hidden="false" customHeight="false" outlineLevel="0" collapsed="false">
      <c r="A5" s="22" t="s">
        <v>70</v>
      </c>
      <c r="B5" s="22" t="s">
        <v>286</v>
      </c>
      <c r="C5" s="22" t="s">
        <v>287</v>
      </c>
      <c r="D5" s="22" t="s">
        <v>288</v>
      </c>
      <c r="E5" s="22" t="s">
        <v>288</v>
      </c>
      <c r="F5" s="22" t="s">
        <v>288</v>
      </c>
      <c r="G5" s="22" t="s">
        <v>288</v>
      </c>
      <c r="H5" s="22" t="s">
        <v>288</v>
      </c>
      <c r="I5" s="22" t="s">
        <v>288</v>
      </c>
      <c r="J5" s="22" t="s">
        <v>288</v>
      </c>
      <c r="K5" s="22" t="s">
        <v>288</v>
      </c>
      <c r="L5" s="22" t="s">
        <v>289</v>
      </c>
      <c r="M5" s="22" t="s">
        <v>290</v>
      </c>
      <c r="N5" s="22" t="s">
        <v>288</v>
      </c>
      <c r="O5" s="22" t="s">
        <v>291</v>
      </c>
      <c r="P5" s="22" t="s">
        <v>292</v>
      </c>
      <c r="Q5" s="22" t="s">
        <v>293</v>
      </c>
      <c r="R5" s="22" t="s">
        <v>288</v>
      </c>
      <c r="S5" s="22" t="s">
        <v>294</v>
      </c>
      <c r="T5" s="22" t="s">
        <v>295</v>
      </c>
      <c r="U5" s="22" t="s">
        <v>288</v>
      </c>
      <c r="V5" s="22" t="s">
        <v>288</v>
      </c>
      <c r="W5" s="22" t="s">
        <v>71</v>
      </c>
    </row>
    <row r="6" customFormat="false" ht="23.85" hidden="false" customHeight="false" outlineLevel="0" collapsed="false">
      <c r="A6" s="22" t="s">
        <v>74</v>
      </c>
      <c r="B6" s="22" t="s">
        <v>296</v>
      </c>
      <c r="C6" s="22" t="s">
        <v>297</v>
      </c>
      <c r="D6" s="22" t="s">
        <v>288</v>
      </c>
      <c r="E6" s="22" t="s">
        <v>291</v>
      </c>
      <c r="F6" s="22" t="s">
        <v>288</v>
      </c>
      <c r="G6" s="22" t="s">
        <v>291</v>
      </c>
      <c r="H6" s="22" t="s">
        <v>291</v>
      </c>
      <c r="I6" s="22" t="s">
        <v>291</v>
      </c>
      <c r="J6" s="22" t="s">
        <v>291</v>
      </c>
      <c r="K6" s="22" t="s">
        <v>288</v>
      </c>
      <c r="L6" s="22" t="s">
        <v>298</v>
      </c>
      <c r="M6" s="22" t="s">
        <v>299</v>
      </c>
      <c r="N6" s="22" t="s">
        <v>291</v>
      </c>
      <c r="O6" s="22" t="s">
        <v>291</v>
      </c>
      <c r="P6" s="22" t="s">
        <v>300</v>
      </c>
      <c r="Q6" s="22" t="s">
        <v>301</v>
      </c>
      <c r="R6" s="22" t="s">
        <v>288</v>
      </c>
      <c r="S6" s="22" t="s">
        <v>302</v>
      </c>
      <c r="T6" s="22" t="s">
        <v>303</v>
      </c>
      <c r="U6" s="22" t="s">
        <v>291</v>
      </c>
      <c r="V6" s="22" t="s">
        <v>291</v>
      </c>
      <c r="W6" s="22" t="s">
        <v>304</v>
      </c>
    </row>
    <row r="7" customFormat="false" ht="15" hidden="false" customHeight="false" outlineLevel="0" collapsed="false">
      <c r="A7" s="22" t="s">
        <v>78</v>
      </c>
      <c r="B7" s="22" t="s">
        <v>40</v>
      </c>
      <c r="C7" s="22" t="s">
        <v>305</v>
      </c>
      <c r="D7" s="22" t="s">
        <v>288</v>
      </c>
      <c r="E7" s="22" t="s">
        <v>288</v>
      </c>
      <c r="F7" s="22" t="s">
        <v>288</v>
      </c>
      <c r="G7" s="22" t="s">
        <v>288</v>
      </c>
      <c r="H7" s="22" t="s">
        <v>288</v>
      </c>
      <c r="I7" s="22" t="s">
        <v>288</v>
      </c>
      <c r="J7" s="22" t="s">
        <v>288</v>
      </c>
      <c r="K7" s="22" t="s">
        <v>288</v>
      </c>
      <c r="L7" s="22" t="s">
        <v>306</v>
      </c>
      <c r="M7" s="22" t="s">
        <v>307</v>
      </c>
      <c r="N7" s="22" t="s">
        <v>288</v>
      </c>
      <c r="O7" s="22" t="s">
        <v>288</v>
      </c>
      <c r="P7" s="22" t="s">
        <v>308</v>
      </c>
      <c r="Q7" s="22" t="s">
        <v>293</v>
      </c>
      <c r="R7" s="22" t="s">
        <v>288</v>
      </c>
      <c r="S7" s="22" t="s">
        <v>309</v>
      </c>
      <c r="T7" s="22" t="s">
        <v>295</v>
      </c>
      <c r="U7" s="22" t="s">
        <v>288</v>
      </c>
      <c r="V7" s="22" t="s">
        <v>288</v>
      </c>
      <c r="W7" s="22" t="s">
        <v>310</v>
      </c>
    </row>
    <row r="8" customFormat="false" ht="23.85" hidden="false" customHeight="false" outlineLevel="0" collapsed="false">
      <c r="A8" s="22" t="s">
        <v>75</v>
      </c>
      <c r="B8" s="22" t="s">
        <v>311</v>
      </c>
      <c r="C8" s="22" t="s">
        <v>312</v>
      </c>
      <c r="D8" s="22" t="s">
        <v>291</v>
      </c>
      <c r="E8" s="22" t="s">
        <v>291</v>
      </c>
      <c r="F8" s="22" t="s">
        <v>288</v>
      </c>
      <c r="G8" s="22" t="s">
        <v>288</v>
      </c>
      <c r="H8" s="22" t="s">
        <v>291</v>
      </c>
      <c r="I8" s="22" t="s">
        <v>291</v>
      </c>
      <c r="J8" s="22" t="s">
        <v>291</v>
      </c>
      <c r="K8" s="22" t="s">
        <v>288</v>
      </c>
      <c r="L8" s="22" t="s">
        <v>313</v>
      </c>
      <c r="M8" s="22" t="s">
        <v>314</v>
      </c>
      <c r="N8" s="22" t="s">
        <v>291</v>
      </c>
      <c r="O8" s="22" t="s">
        <v>288</v>
      </c>
      <c r="P8" s="22" t="s">
        <v>315</v>
      </c>
      <c r="Q8" s="22" t="s">
        <v>301</v>
      </c>
      <c r="R8" s="22" t="s">
        <v>291</v>
      </c>
      <c r="S8" s="22" t="s">
        <v>205</v>
      </c>
      <c r="T8" s="22" t="s">
        <v>303</v>
      </c>
      <c r="U8" s="22" t="s">
        <v>291</v>
      </c>
      <c r="V8" s="22" t="s">
        <v>291</v>
      </c>
      <c r="W8" s="22" t="s">
        <v>316</v>
      </c>
    </row>
    <row r="32" customFormat="false" ht="15" hidden="false" customHeight="false" outlineLevel="0" collapsed="false">
      <c r="A32" s="3" t="s">
        <v>317</v>
      </c>
    </row>
    <row r="33" customFormat="false" ht="15" hidden="false" customHeight="false" outlineLevel="0" collapsed="false">
      <c r="A33" s="5" t="s">
        <v>318</v>
      </c>
      <c r="C33" s="5" t="n">
        <f aca="false">COUNTA(A5:A30)</f>
        <v>4</v>
      </c>
    </row>
    <row r="34" customFormat="false" ht="15" hidden="false" customHeight="false" outlineLevel="0" collapsed="false">
      <c r="A34" s="5" t="s">
        <v>319</v>
      </c>
      <c r="C34" s="5" t="n">
        <f aca="false">COUNTIF(T5:T30,"Shared login")</f>
        <v>2</v>
      </c>
    </row>
    <row r="35" customFormat="false" ht="15" hidden="false" customHeight="false" outlineLevel="0" collapsed="false">
      <c r="A35" s="5" t="s">
        <v>320</v>
      </c>
      <c r="C35" s="5" t="n">
        <f aca="false">COUNTIF(R5:R30,"N")</f>
        <v>1</v>
      </c>
    </row>
    <row r="36" customFormat="false" ht="15" hidden="false" customHeight="false" outlineLevel="0" collapsed="false">
      <c r="A36" s="5" t="s">
        <v>321</v>
      </c>
      <c r="C36" s="5" t="n">
        <f aca="false">COUNTIF(V5:V30,"N")</f>
        <v>2</v>
      </c>
    </row>
    <row r="37" customFormat="false" ht="15" hidden="false" customHeight="false" outlineLevel="0" collapsed="false">
      <c r="A37" s="5" t="s">
        <v>322</v>
      </c>
      <c r="C37" s="5" t="n">
        <f aca="false">COUNTIF(O5:O30,"Y")</f>
        <v>2</v>
      </c>
    </row>
  </sheetData>
  <dataValidations count="3">
    <dataValidation allowBlank="true" errorStyle="stop" operator="between" showDropDown="false" showErrorMessage="false" showInputMessage="false" sqref="D5:K30 N5:O30 R5:R30 U5:V30" type="list">
      <formula1>"Y,N,Partial"</formula1>
      <formula2>0</formula2>
    </dataValidation>
    <dataValidation allowBlank="true" errorStyle="stop" operator="between" showDropDown="false" showErrorMessage="false" showInputMessage="false" sqref="Q5:Q30" type="list">
      <formula1>"High,Medium,Low"</formula1>
      <formula2>0</formula2>
    </dataValidation>
    <dataValidation allowBlank="true" errorStyle="stop" operator="between" showDropDown="false" showErrorMessage="false" showInputMessage="false" sqref="T5:T30" type="list">
      <formula1>"Individual,Shared login,Mixed"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2026-10-28T15:07:54Z</dcterms:created>
  <dc:creator>openpyxl</dc:creator>
  <dc:description/>
  <dc:language>en-US</dc:language>
  <cp:lastModifiedBy/>
  <dcterms:modified xsi:type="dcterms:W3CDTF">2026-10-28T15:07:54Z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